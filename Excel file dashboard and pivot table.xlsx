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hidePivotFieldList="1"/>
  <mc:AlternateContent xmlns:mc="http://schemas.openxmlformats.org/markup-compatibility/2006">
    <mc:Choice Requires="x15">
      <x15ac:absPath xmlns:x15ac="http://schemas.microsoft.com/office/spreadsheetml/2010/11/ac" url="C:\Users\tazee\Downloads\"/>
    </mc:Choice>
  </mc:AlternateContent>
  <xr:revisionPtr revIDLastSave="0" documentId="8_{19BD564A-412D-40BB-ACBC-DB42CA37119D}" xr6:coauthVersionLast="36" xr6:coauthVersionMax="36" xr10:uidLastSave="{00000000-0000-0000-0000-000000000000}"/>
  <bookViews>
    <workbookView xWindow="0" yWindow="0" windowWidth="23040" windowHeight="9060" xr2:uid="{00000000-000D-0000-FFFF-FFFF00000000}"/>
  </bookViews>
  <sheets>
    <sheet name="Dashboard" sheetId="9" r:id="rId1"/>
    <sheet name="Sheet1" sheetId="1" r:id="rId2"/>
    <sheet name="Sheet5" sheetId="8" r:id="rId3"/>
    <sheet name="Cal" sheetId="10" state="hidden" r:id="rId4"/>
    <sheet name="Sheet4" sheetId="7" r:id="rId5"/>
    <sheet name="Sheet3" sheetId="3" r:id="rId6"/>
    <sheet name="Sheet2" sheetId="2" r:id="rId7"/>
  </sheets>
  <definedNames>
    <definedName name="_xlcn.WorksheetConnection_manual_sales_50.xlsxSalesTable" hidden="1">SalesTable[]</definedName>
    <definedName name="Slicer_Date">#N/A</definedName>
    <definedName name="Slicer_Product">#N/A</definedName>
    <definedName name="Slicer_Quantity">#N/A</definedName>
    <definedName name="Slicer_Region">#N/A</definedName>
  </definedNames>
  <calcPr calcId="191029"/>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Table" name="SalesTable" connection="WorksheetConnection_manual_sales_50.xlsx!SalesTable"/>
        </x15:modelTables>
        <x15:extLst>
          <ext xmlns:x16="http://schemas.microsoft.com/office/spreadsheetml/2014/11/main" uri="{9835A34E-60A6-4A7C-AAB8-D5F71C897F49}">
            <x16:modelTimeGroupings>
              <x16:modelTimeGrouping tableName="SalesTabl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A7" i="10" l="1"/>
  <c r="A5" i="10"/>
  <c r="A3" i="10"/>
  <c r="A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1923FE-6140-47C5-8C49-B332C91549D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5869D81-8983-45F8-80B2-AD6575DCDA9D}" name="WorksheetConnection_manual_sales_50.xlsx!SalesTable" type="102" refreshedVersion="6" minRefreshableVersion="5">
    <extLst>
      <ext xmlns:x15="http://schemas.microsoft.com/office/spreadsheetml/2010/11/main" uri="{DE250136-89BD-433C-8126-D09CA5730AF9}">
        <x15:connection id="SalesTable" autoDelete="1">
          <x15:rangePr sourceName="_xlcn.WorksheetConnection_manual_sales_50.xlsxSalesTable"/>
        </x15:connection>
      </ext>
    </extLst>
  </connection>
</connections>
</file>

<file path=xl/sharedStrings.xml><?xml version="1.0" encoding="utf-8"?>
<sst xmlns="http://schemas.openxmlformats.org/spreadsheetml/2006/main" count="157" uniqueCount="33">
  <si>
    <t>OrderID</t>
  </si>
  <si>
    <t>Date</t>
  </si>
  <si>
    <t>Region</t>
  </si>
  <si>
    <t>Product</t>
  </si>
  <si>
    <t>Quantity</t>
  </si>
  <si>
    <t>Unit Price</t>
  </si>
  <si>
    <t>Total Sales</t>
  </si>
  <si>
    <t>East</t>
  </si>
  <si>
    <t>Laptop</t>
  </si>
  <si>
    <t>West</t>
  </si>
  <si>
    <t>Phone</t>
  </si>
  <si>
    <t>North</t>
  </si>
  <si>
    <t>Tablet</t>
  </si>
  <si>
    <t>South</t>
  </si>
  <si>
    <t>Accessory</t>
  </si>
  <si>
    <t>Row Labels</t>
  </si>
  <si>
    <t>Grand Total</t>
  </si>
  <si>
    <t>Sum of Total Sales</t>
  </si>
  <si>
    <t>Average of Total Sales</t>
  </si>
  <si>
    <t>Column Labels</t>
  </si>
  <si>
    <t>Jan</t>
  </si>
  <si>
    <t>Feb</t>
  </si>
  <si>
    <t>Mar</t>
  </si>
  <si>
    <t>Apr</t>
  </si>
  <si>
    <t>May</t>
  </si>
  <si>
    <t>Jun</t>
  </si>
  <si>
    <t>Jul</t>
  </si>
  <si>
    <t>Aug</t>
  </si>
  <si>
    <t>Sep</t>
  </si>
  <si>
    <t>Oct</t>
  </si>
  <si>
    <t>Nov</t>
  </si>
  <si>
    <t>Dec</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</si>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</sst>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8"/>
      <color theme="0"/>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Protection="1"/>
    <xf numFmtId="0" fontId="1" fillId="0" borderId="1" xfId="0" applyFont="1" applyBorder="1" applyAlignment="1">
      <alignment horizontal="center" vertical="top"/>
    </xf>
  </cellXfs>
  <cellStyles count="1">
    <cellStyle name="Normal" xfId="0" builtinId="0"/>
  </cellStyles>
  <dxfs count="12">
    <dxf>
      <font>
        <color rgb="FF9C5700"/>
      </font>
      <fill>
        <patternFill>
          <bgColor rgb="FFFFEB9C"/>
        </patternFill>
      </fill>
    </dxf>
    <dxf>
      <font>
        <color theme="1"/>
      </font>
      <fill>
        <patternFill>
          <bgColor rgb="FF00B0F0"/>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8"/>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9C5700"/>
      </font>
      <fill>
        <patternFill>
          <bgColor rgb="FFFFEB9C"/>
        </patternFill>
      </fill>
    </dxf>
    <dxf>
      <font>
        <color theme="1"/>
      </font>
      <fill>
        <patternFill>
          <bgColor rgb="FF00B0F0"/>
        </patternFill>
      </fill>
    </dxf>
    <dxf>
      <font>
        <color rgb="FF9C0006"/>
      </font>
      <fill>
        <patternFill>
          <bgColor rgb="FFFFC7CE"/>
        </patternFill>
      </fill>
    </dxf>
    <dxf>
      <font>
        <color rgb="FF006100"/>
      </font>
      <fill>
        <patternFill>
          <bgColor rgb="FFC6EFCE"/>
        </patternFill>
      </fill>
    </dxf>
    <dxf>
      <numFmt numFmtId="164" formatCode="yyyy\-mm\-dd"/>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dashboard and pivot table.xlsx]Sheet4!Sales Trend by Sate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28"/>
        <c:spPr>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29"/>
        <c:spPr>
          <a:ln w="28575" cap="rnd">
            <a:solidFill>
              <a:schemeClr val="accent1"/>
            </a:solidFill>
            <a:round/>
          </a:ln>
          <a:effectLst/>
        </c:spPr>
        <c:marker>
          <c:symbol val="circle"/>
          <c:size val="5"/>
          <c:spPr>
            <a:solidFill>
              <a:schemeClr val="accent6"/>
            </a:solidFill>
            <a:ln w="9525">
              <a:solidFill>
                <a:schemeClr val="accent6"/>
              </a:solidFill>
            </a:ln>
            <a:effectLst/>
          </c:spPr>
        </c:marker>
      </c:pivotFmt>
      <c:pivotFmt>
        <c:idx val="3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
        <c:idx val="31"/>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pivotFmt>
      <c:pivotFmt>
        <c:idx val="32"/>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pivotFmt>
      <c:pivotFmt>
        <c:idx val="33"/>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pivotFmt>
      <c:pivotFmt>
        <c:idx val="34"/>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pivotFmt>
      <c:pivotFmt>
        <c:idx val="35"/>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pivotFmt>
    </c:pivotFmts>
    <c:plotArea>
      <c:layout/>
      <c:lineChart>
        <c:grouping val="standard"/>
        <c:varyColors val="0"/>
        <c:ser>
          <c:idx val="0"/>
          <c:order val="0"/>
          <c:tx>
            <c:strRef>
              <c:f>Sheet4!$B$3:$B$5</c:f>
              <c:strCache>
                <c:ptCount val="1"/>
                <c:pt idx="0">
                  <c:v>Jan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Sheet4!$A$6</c:f>
              <c:strCache>
                <c:ptCount val="1"/>
                <c:pt idx="0">
                  <c:v>Total</c:v>
                </c:pt>
              </c:strCache>
            </c:strRef>
          </c:cat>
          <c:val>
            <c:numRef>
              <c:f>Sheet4!$B$6</c:f>
              <c:numCache>
                <c:formatCode>General</c:formatCode>
                <c:ptCount val="1"/>
                <c:pt idx="0">
                  <c:v>20650</c:v>
                </c:pt>
              </c:numCache>
            </c:numRef>
          </c:val>
          <c:smooth val="0"/>
          <c:extLst>
            <c:ext xmlns:c16="http://schemas.microsoft.com/office/drawing/2014/chart" uri="{C3380CC4-5D6E-409C-BE32-E72D297353CC}">
              <c16:uniqueId val="{00000000-5A83-4A85-8354-488495B97388}"/>
            </c:ext>
          </c:extLst>
        </c:ser>
        <c:ser>
          <c:idx val="1"/>
          <c:order val="1"/>
          <c:tx>
            <c:strRef>
              <c:f>Sheet4!$C$3:$C$5</c:f>
              <c:strCache>
                <c:ptCount val="1"/>
                <c:pt idx="0">
                  <c:v>Feb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Sheet4!$A$6</c:f>
              <c:strCache>
                <c:ptCount val="1"/>
                <c:pt idx="0">
                  <c:v>Total</c:v>
                </c:pt>
              </c:strCache>
            </c:strRef>
          </c:cat>
          <c:val>
            <c:numRef>
              <c:f>Sheet4!$C$6</c:f>
              <c:numCache>
                <c:formatCode>General</c:formatCode>
                <c:ptCount val="1"/>
                <c:pt idx="0">
                  <c:v>18750</c:v>
                </c:pt>
              </c:numCache>
            </c:numRef>
          </c:val>
          <c:smooth val="0"/>
          <c:extLst>
            <c:ext xmlns:c16="http://schemas.microsoft.com/office/drawing/2014/chart" uri="{C3380CC4-5D6E-409C-BE32-E72D297353CC}">
              <c16:uniqueId val="{00000020-5A83-4A85-8354-488495B97388}"/>
            </c:ext>
          </c:extLst>
        </c:ser>
        <c:ser>
          <c:idx val="2"/>
          <c:order val="2"/>
          <c:tx>
            <c:strRef>
              <c:f>Sheet4!$D$3:$D$5</c:f>
              <c:strCache>
                <c:ptCount val="1"/>
                <c:pt idx="0">
                  <c:v>Mar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Sheet4!$A$6</c:f>
              <c:strCache>
                <c:ptCount val="1"/>
                <c:pt idx="0">
                  <c:v>Total</c:v>
                </c:pt>
              </c:strCache>
            </c:strRef>
          </c:cat>
          <c:val>
            <c:numRef>
              <c:f>Sheet4!$D$6</c:f>
              <c:numCache>
                <c:formatCode>General</c:formatCode>
                <c:ptCount val="1"/>
                <c:pt idx="0">
                  <c:v>24950</c:v>
                </c:pt>
              </c:numCache>
            </c:numRef>
          </c:val>
          <c:smooth val="0"/>
          <c:extLst>
            <c:ext xmlns:c16="http://schemas.microsoft.com/office/drawing/2014/chart" uri="{C3380CC4-5D6E-409C-BE32-E72D297353CC}">
              <c16:uniqueId val="{00000021-5A83-4A85-8354-488495B97388}"/>
            </c:ext>
          </c:extLst>
        </c:ser>
        <c:ser>
          <c:idx val="3"/>
          <c:order val="3"/>
          <c:tx>
            <c:strRef>
              <c:f>Sheet4!$E$3:$E$5</c:f>
              <c:strCache>
                <c:ptCount val="1"/>
                <c:pt idx="0">
                  <c:v>Apr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Sheet4!$A$6</c:f>
              <c:strCache>
                <c:ptCount val="1"/>
                <c:pt idx="0">
                  <c:v>Total</c:v>
                </c:pt>
              </c:strCache>
            </c:strRef>
          </c:cat>
          <c:val>
            <c:numRef>
              <c:f>Sheet4!$E$6</c:f>
              <c:numCache>
                <c:formatCode>General</c:formatCode>
                <c:ptCount val="1"/>
                <c:pt idx="0">
                  <c:v>6150</c:v>
                </c:pt>
              </c:numCache>
            </c:numRef>
          </c:val>
          <c:smooth val="0"/>
          <c:extLst>
            <c:ext xmlns:c16="http://schemas.microsoft.com/office/drawing/2014/chart" uri="{C3380CC4-5D6E-409C-BE32-E72D297353CC}">
              <c16:uniqueId val="{00000022-5A83-4A85-8354-488495B97388}"/>
            </c:ext>
          </c:extLst>
        </c:ser>
        <c:ser>
          <c:idx val="4"/>
          <c:order val="4"/>
          <c:tx>
            <c:strRef>
              <c:f>Sheet4!$F$3:$F$5</c:f>
              <c:strCache>
                <c:ptCount val="1"/>
                <c:pt idx="0">
                  <c:v>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Sheet4!$A$6</c:f>
              <c:strCache>
                <c:ptCount val="1"/>
                <c:pt idx="0">
                  <c:v>Total</c:v>
                </c:pt>
              </c:strCache>
            </c:strRef>
          </c:cat>
          <c:val>
            <c:numRef>
              <c:f>Sheet4!$F$6</c:f>
              <c:numCache>
                <c:formatCode>General</c:formatCode>
                <c:ptCount val="1"/>
                <c:pt idx="0">
                  <c:v>8700</c:v>
                </c:pt>
              </c:numCache>
            </c:numRef>
          </c:val>
          <c:smooth val="0"/>
          <c:extLst>
            <c:ext xmlns:c16="http://schemas.microsoft.com/office/drawing/2014/chart" uri="{C3380CC4-5D6E-409C-BE32-E72D297353CC}">
              <c16:uniqueId val="{00000023-5A83-4A85-8354-488495B97388}"/>
            </c:ext>
          </c:extLst>
        </c:ser>
        <c:ser>
          <c:idx val="5"/>
          <c:order val="5"/>
          <c:tx>
            <c:strRef>
              <c:f>Sheet4!$G$3:$G$5</c:f>
              <c:strCache>
                <c:ptCount val="1"/>
                <c:pt idx="0">
                  <c:v>Jun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Sheet4!$A$6</c:f>
              <c:strCache>
                <c:ptCount val="1"/>
                <c:pt idx="0">
                  <c:v>Total</c:v>
                </c:pt>
              </c:strCache>
            </c:strRef>
          </c:cat>
          <c:val>
            <c:numRef>
              <c:f>Sheet4!$G$6</c:f>
              <c:numCache>
                <c:formatCode>General</c:formatCode>
                <c:ptCount val="1"/>
                <c:pt idx="0">
                  <c:v>18450</c:v>
                </c:pt>
              </c:numCache>
            </c:numRef>
          </c:val>
          <c:smooth val="0"/>
          <c:extLst>
            <c:ext xmlns:c16="http://schemas.microsoft.com/office/drawing/2014/chart" uri="{C3380CC4-5D6E-409C-BE32-E72D297353CC}">
              <c16:uniqueId val="{00000024-5A83-4A85-8354-488495B97388}"/>
            </c:ext>
          </c:extLst>
        </c:ser>
        <c:ser>
          <c:idx val="6"/>
          <c:order val="6"/>
          <c:tx>
            <c:strRef>
              <c:f>Sheet4!$H$3:$H$5</c:f>
              <c:strCache>
                <c:ptCount val="1"/>
                <c:pt idx="0">
                  <c:v>Jul</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Sheet4!$A$6</c:f>
              <c:strCache>
                <c:ptCount val="1"/>
                <c:pt idx="0">
                  <c:v>Total</c:v>
                </c:pt>
              </c:strCache>
            </c:strRef>
          </c:cat>
          <c:val>
            <c:numRef>
              <c:f>Sheet4!$H$6</c:f>
              <c:numCache>
                <c:formatCode>General</c:formatCode>
                <c:ptCount val="1"/>
                <c:pt idx="0">
                  <c:v>28450</c:v>
                </c:pt>
              </c:numCache>
            </c:numRef>
          </c:val>
          <c:smooth val="0"/>
          <c:extLst>
            <c:ext xmlns:c16="http://schemas.microsoft.com/office/drawing/2014/chart" uri="{C3380CC4-5D6E-409C-BE32-E72D297353CC}">
              <c16:uniqueId val="{00000025-5A83-4A85-8354-488495B97388}"/>
            </c:ext>
          </c:extLst>
        </c:ser>
        <c:ser>
          <c:idx val="7"/>
          <c:order val="7"/>
          <c:tx>
            <c:strRef>
              <c:f>Sheet4!$I$3:$I$5</c:f>
              <c:strCache>
                <c:ptCount val="1"/>
                <c:pt idx="0">
                  <c:v>Aug</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Sheet4!$A$6</c:f>
              <c:strCache>
                <c:ptCount val="1"/>
                <c:pt idx="0">
                  <c:v>Total</c:v>
                </c:pt>
              </c:strCache>
            </c:strRef>
          </c:cat>
          <c:val>
            <c:numRef>
              <c:f>Sheet4!$I$6</c:f>
              <c:numCache>
                <c:formatCode>General</c:formatCode>
                <c:ptCount val="1"/>
                <c:pt idx="0">
                  <c:v>16150</c:v>
                </c:pt>
              </c:numCache>
            </c:numRef>
          </c:val>
          <c:smooth val="0"/>
          <c:extLst>
            <c:ext xmlns:c16="http://schemas.microsoft.com/office/drawing/2014/chart" uri="{C3380CC4-5D6E-409C-BE32-E72D297353CC}">
              <c16:uniqueId val="{00000026-5A83-4A85-8354-488495B97388}"/>
            </c:ext>
          </c:extLst>
        </c:ser>
        <c:ser>
          <c:idx val="8"/>
          <c:order val="8"/>
          <c:tx>
            <c:strRef>
              <c:f>Sheet4!$J$3:$J$5</c:f>
              <c:strCache>
                <c:ptCount val="1"/>
                <c:pt idx="0">
                  <c:v>Sep</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Sheet4!$A$6</c:f>
              <c:strCache>
                <c:ptCount val="1"/>
                <c:pt idx="0">
                  <c:v>Total</c:v>
                </c:pt>
              </c:strCache>
            </c:strRef>
          </c:cat>
          <c:val>
            <c:numRef>
              <c:f>Sheet4!$J$6</c:f>
              <c:numCache>
                <c:formatCode>General</c:formatCode>
                <c:ptCount val="1"/>
                <c:pt idx="0">
                  <c:v>17650</c:v>
                </c:pt>
              </c:numCache>
            </c:numRef>
          </c:val>
          <c:smooth val="0"/>
          <c:extLst>
            <c:ext xmlns:c16="http://schemas.microsoft.com/office/drawing/2014/chart" uri="{C3380CC4-5D6E-409C-BE32-E72D297353CC}">
              <c16:uniqueId val="{00000027-5A83-4A85-8354-488495B97388}"/>
            </c:ext>
          </c:extLst>
        </c:ser>
        <c:ser>
          <c:idx val="9"/>
          <c:order val="9"/>
          <c:tx>
            <c:strRef>
              <c:f>Sheet4!$K$3:$K$5</c:f>
              <c:strCache>
                <c:ptCount val="1"/>
                <c:pt idx="0">
                  <c:v>Oct</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Sheet4!$A$6</c:f>
              <c:strCache>
                <c:ptCount val="1"/>
                <c:pt idx="0">
                  <c:v>Total</c:v>
                </c:pt>
              </c:strCache>
            </c:strRef>
          </c:cat>
          <c:val>
            <c:numRef>
              <c:f>Sheet4!$K$6</c:f>
              <c:numCache>
                <c:formatCode>General</c:formatCode>
                <c:ptCount val="1"/>
                <c:pt idx="0">
                  <c:v>25300</c:v>
                </c:pt>
              </c:numCache>
            </c:numRef>
          </c:val>
          <c:smooth val="0"/>
          <c:extLst>
            <c:ext xmlns:c16="http://schemas.microsoft.com/office/drawing/2014/chart" uri="{C3380CC4-5D6E-409C-BE32-E72D297353CC}">
              <c16:uniqueId val="{00000028-5A83-4A85-8354-488495B97388}"/>
            </c:ext>
          </c:extLst>
        </c:ser>
        <c:ser>
          <c:idx val="10"/>
          <c:order val="10"/>
          <c:tx>
            <c:strRef>
              <c:f>Sheet4!$L$3:$L$5</c:f>
              <c:strCache>
                <c:ptCount val="1"/>
                <c:pt idx="0">
                  <c:v>Nov</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Sheet4!$A$6</c:f>
              <c:strCache>
                <c:ptCount val="1"/>
                <c:pt idx="0">
                  <c:v>Total</c:v>
                </c:pt>
              </c:strCache>
            </c:strRef>
          </c:cat>
          <c:val>
            <c:numRef>
              <c:f>Sheet4!$L$6</c:f>
              <c:numCache>
                <c:formatCode>General</c:formatCode>
                <c:ptCount val="1"/>
                <c:pt idx="0">
                  <c:v>18100</c:v>
                </c:pt>
              </c:numCache>
            </c:numRef>
          </c:val>
          <c:smooth val="0"/>
          <c:extLst>
            <c:ext xmlns:c16="http://schemas.microsoft.com/office/drawing/2014/chart" uri="{C3380CC4-5D6E-409C-BE32-E72D297353CC}">
              <c16:uniqueId val="{00000029-5A83-4A85-8354-488495B97388}"/>
            </c:ext>
          </c:extLst>
        </c:ser>
        <c:ser>
          <c:idx val="11"/>
          <c:order val="11"/>
          <c:tx>
            <c:strRef>
              <c:f>Sheet4!$M$3:$M$5</c:f>
              <c:strCache>
                <c:ptCount val="1"/>
                <c:pt idx="0">
                  <c:v>Dec</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Sheet4!$A$6</c:f>
              <c:strCache>
                <c:ptCount val="1"/>
                <c:pt idx="0">
                  <c:v>Total</c:v>
                </c:pt>
              </c:strCache>
            </c:strRef>
          </c:cat>
          <c:val>
            <c:numRef>
              <c:f>Sheet4!$M$6</c:f>
              <c:numCache>
                <c:formatCode>General</c:formatCode>
                <c:ptCount val="1"/>
                <c:pt idx="0">
                  <c:v>19500</c:v>
                </c:pt>
              </c:numCache>
            </c:numRef>
          </c:val>
          <c:smooth val="0"/>
          <c:extLst>
            <c:ext xmlns:c16="http://schemas.microsoft.com/office/drawing/2014/chart" uri="{C3380CC4-5D6E-409C-BE32-E72D297353CC}">
              <c16:uniqueId val="{0000002A-5A83-4A85-8354-488495B97388}"/>
            </c:ext>
          </c:extLst>
        </c:ser>
        <c:dLbls>
          <c:showLegendKey val="0"/>
          <c:showVal val="0"/>
          <c:showCatName val="0"/>
          <c:showSerName val="0"/>
          <c:showPercent val="0"/>
          <c:showBubbleSize val="0"/>
        </c:dLbls>
        <c:marker val="1"/>
        <c:smooth val="0"/>
        <c:axId val="569786744"/>
        <c:axId val="569791008"/>
      </c:lineChart>
      <c:catAx>
        <c:axId val="569786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91008"/>
        <c:crosses val="autoZero"/>
        <c:auto val="1"/>
        <c:lblAlgn val="ctr"/>
        <c:lblOffset val="100"/>
        <c:noMultiLvlLbl val="0"/>
      </c:catAx>
      <c:valAx>
        <c:axId val="56979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86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file dashboard and pivot table.xlsx]Sheet3!Average of Total Sales by Product</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SALE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Sheet3!$A$4:$A$8</c:f>
              <c:strCache>
                <c:ptCount val="4"/>
                <c:pt idx="0">
                  <c:v>Accessory</c:v>
                </c:pt>
                <c:pt idx="1">
                  <c:v>Laptop</c:v>
                </c:pt>
                <c:pt idx="2">
                  <c:v>Phone</c:v>
                </c:pt>
                <c:pt idx="3">
                  <c:v>Tablet</c:v>
                </c:pt>
              </c:strCache>
            </c:strRef>
          </c:cat>
          <c:val>
            <c:numRef>
              <c:f>Sheet3!$B$4:$B$8</c:f>
              <c:numCache>
                <c:formatCode>General</c:formatCode>
                <c:ptCount val="4"/>
                <c:pt idx="0">
                  <c:v>541.66666666666663</c:v>
                </c:pt>
                <c:pt idx="1">
                  <c:v>7507.6923076923076</c:v>
                </c:pt>
                <c:pt idx="2">
                  <c:v>6038.4615384615381</c:v>
                </c:pt>
                <c:pt idx="3">
                  <c:v>3350</c:v>
                </c:pt>
              </c:numCache>
            </c:numRef>
          </c:val>
          <c:extLst>
            <c:ext xmlns:c16="http://schemas.microsoft.com/office/drawing/2014/chart" uri="{C3380CC4-5D6E-409C-BE32-E72D297353CC}">
              <c16:uniqueId val="{00000000-F7AF-49B7-A91E-8BA0A42CD877}"/>
            </c:ext>
          </c:extLst>
        </c:ser>
        <c:dLbls>
          <c:dLblPos val="inEnd"/>
          <c:showLegendKey val="0"/>
          <c:showVal val="1"/>
          <c:showCatName val="0"/>
          <c:showSerName val="0"/>
          <c:showPercent val="0"/>
          <c:showBubbleSize val="0"/>
        </c:dLbls>
        <c:gapWidth val="65"/>
        <c:axId val="565781136"/>
        <c:axId val="565786712"/>
      </c:barChart>
      <c:catAx>
        <c:axId val="5657811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5786712"/>
        <c:crosses val="autoZero"/>
        <c:auto val="1"/>
        <c:lblAlgn val="ctr"/>
        <c:lblOffset val="100"/>
        <c:noMultiLvlLbl val="0"/>
      </c:catAx>
      <c:valAx>
        <c:axId val="5657867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657811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file dashboard and pivot table.xlsx]Sheet2!Total Sales By Region</c:name>
    <c:fmtId val="1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SALES BY REGION</a:t>
            </a:r>
          </a:p>
        </c:rich>
      </c:tx>
      <c:layout>
        <c:manualLayout>
          <c:xMode val="edge"/>
          <c:yMode val="edge"/>
          <c:x val="0.16805283685333725"/>
          <c:y val="0.14877515310586176"/>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pivotFmt>
    </c:pivotFmts>
    <c:plotArea>
      <c:layout>
        <c:manualLayout>
          <c:layoutTarget val="inner"/>
          <c:xMode val="edge"/>
          <c:yMode val="edge"/>
          <c:x val="0.16276961442811774"/>
          <c:y val="0.25163183457208038"/>
          <c:w val="0.58392026784053563"/>
          <c:h val="0.2033697598547845"/>
        </c:manualLayout>
      </c:layout>
      <c:barChart>
        <c:barDir val="col"/>
        <c:grouping val="clustered"/>
        <c:varyColors val="0"/>
        <c:ser>
          <c:idx val="0"/>
          <c:order val="0"/>
          <c:tx>
            <c:strRef>
              <c:f>Sheet2!$B$3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97600</c:v>
                </c:pt>
                <c:pt idx="1">
                  <c:v>40200</c:v>
                </c:pt>
                <c:pt idx="2">
                  <c:v>6500</c:v>
                </c:pt>
                <c:pt idx="3">
                  <c:v>78500</c:v>
                </c:pt>
              </c:numCache>
            </c:numRef>
          </c:val>
          <c:extLst>
            <c:ext xmlns:c16="http://schemas.microsoft.com/office/drawing/2014/chart" uri="{C3380CC4-5D6E-409C-BE32-E72D297353CC}">
              <c16:uniqueId val="{00000000-FB3E-48A2-AC40-EA56FA8386C9}"/>
            </c:ext>
          </c:extLst>
        </c:ser>
        <c:dLbls>
          <c:showLegendKey val="0"/>
          <c:showVal val="0"/>
          <c:showCatName val="0"/>
          <c:showSerName val="0"/>
          <c:showPercent val="0"/>
          <c:showBubbleSize val="0"/>
        </c:dLbls>
        <c:gapWidth val="355"/>
        <c:overlap val="-70"/>
        <c:axId val="562543568"/>
        <c:axId val="562539304"/>
      </c:barChart>
      <c:catAx>
        <c:axId val="56254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39304"/>
        <c:crosses val="autoZero"/>
        <c:auto val="1"/>
        <c:lblAlgn val="ctr"/>
        <c:lblOffset val="100"/>
        <c:noMultiLvlLbl val="0"/>
      </c:catAx>
      <c:valAx>
        <c:axId val="56253930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4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dashboard and pivot table.xlsx]Sheet5!PivotTable6</c:name>
    <c:fmtId val="4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QUANTITY BY PRODUCT AND DATE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solidFill>
            <a:schemeClr val="accent1"/>
          </a:solidFill>
          <a:ln>
            <a:noFill/>
          </a:ln>
          <a:effectLst/>
          <a:sp3d/>
        </c:spPr>
        <c:marker>
          <c:symbol val="none"/>
        </c:marker>
      </c:pivotFmt>
      <c:pivotFmt>
        <c:idx val="25"/>
        <c:spPr>
          <a:solidFill>
            <a:schemeClr val="accent1"/>
          </a:solidFill>
          <a:ln>
            <a:noFill/>
          </a:ln>
          <a:effectLst/>
          <a:sp3d/>
        </c:spPr>
        <c:marker>
          <c:symbol val="none"/>
        </c:marker>
      </c:pivotFmt>
      <c:pivotFmt>
        <c:idx val="26"/>
        <c:spPr>
          <a:solidFill>
            <a:schemeClr val="accent1"/>
          </a:solidFill>
          <a:ln>
            <a:noFill/>
          </a:ln>
          <a:effectLst/>
          <a:sp3d/>
        </c:spPr>
        <c:marker>
          <c:symbol val="none"/>
        </c:marker>
      </c:pivotFmt>
      <c:pivotFmt>
        <c:idx val="27"/>
        <c:spPr>
          <a:solidFill>
            <a:schemeClr val="accent1"/>
          </a:solidFill>
          <a:ln>
            <a:noFill/>
          </a:ln>
          <a:effectLst/>
          <a:sp3d/>
        </c:spPr>
        <c:marker>
          <c:symbol val="none"/>
        </c:marker>
      </c:pivotFmt>
      <c:pivotFmt>
        <c:idx val="28"/>
        <c:spPr>
          <a:solidFill>
            <a:schemeClr val="accent1"/>
          </a:solidFill>
          <a:ln>
            <a:noFill/>
          </a:ln>
          <a:effectLst/>
          <a:sp3d/>
        </c:spPr>
        <c:marker>
          <c:symbol val="none"/>
        </c:marker>
      </c:pivotFmt>
      <c:pivotFmt>
        <c:idx val="29"/>
        <c:spPr>
          <a:solidFill>
            <a:schemeClr val="accent1"/>
          </a:solidFill>
          <a:ln>
            <a:noFill/>
          </a:ln>
          <a:effectLst/>
          <a:sp3d/>
        </c:spPr>
        <c:marker>
          <c:symbol val="none"/>
        </c:marker>
      </c:pivotFmt>
      <c:pivotFmt>
        <c:idx val="30"/>
        <c:spPr>
          <a:solidFill>
            <a:schemeClr val="accent1"/>
          </a:solidFill>
          <a:ln>
            <a:noFill/>
          </a:ln>
          <a:effectLst/>
          <a:sp3d/>
        </c:spPr>
        <c:marker>
          <c:symbol val="none"/>
        </c:marker>
      </c:pivotFmt>
      <c:pivotFmt>
        <c:idx val="31"/>
        <c:spPr>
          <a:solidFill>
            <a:schemeClr val="accent1"/>
          </a:solidFill>
          <a:ln>
            <a:noFill/>
          </a:ln>
          <a:effectLst/>
          <a:sp3d/>
        </c:spPr>
        <c:marker>
          <c:symbol val="none"/>
        </c:marker>
      </c:pivotFmt>
      <c:pivotFmt>
        <c:idx val="32"/>
        <c:spPr>
          <a:solidFill>
            <a:schemeClr val="accent1"/>
          </a:solidFill>
          <a:ln>
            <a:noFill/>
          </a:ln>
          <a:effectLst/>
          <a:sp3d/>
        </c:spPr>
        <c:marker>
          <c:symbol val="none"/>
        </c:marker>
      </c:pivotFmt>
      <c:pivotFmt>
        <c:idx val="33"/>
        <c:spPr>
          <a:solidFill>
            <a:schemeClr val="accent1"/>
          </a:solidFill>
          <a:ln>
            <a:noFill/>
          </a:ln>
          <a:effectLst/>
          <a:sp3d/>
        </c:spPr>
        <c:marker>
          <c:symbol val="none"/>
        </c:marker>
      </c:pivotFmt>
      <c:pivotFmt>
        <c:idx val="34"/>
        <c:spPr>
          <a:solidFill>
            <a:schemeClr val="accent1"/>
          </a:solidFill>
          <a:ln>
            <a:noFill/>
          </a:ln>
          <a:effectLst/>
          <a:sp3d/>
        </c:spPr>
        <c:marker>
          <c:symbol val="none"/>
        </c:marker>
      </c:pivotFmt>
      <c:pivotFmt>
        <c:idx val="3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Sheet5!$B$3:$B$5</c:f>
              <c:strCache>
                <c:ptCount val="1"/>
                <c:pt idx="0">
                  <c:v>Jan</c:v>
                </c:pt>
              </c:strCache>
            </c:strRef>
          </c:tx>
          <c:spPr>
            <a:solidFill>
              <a:schemeClr val="accent1"/>
            </a:solidFill>
            <a:ln>
              <a:noFill/>
            </a:ln>
            <a:effectLst/>
            <a:sp3d/>
          </c:spPr>
          <c:invertIfNegative val="0"/>
          <c:cat>
            <c:strRef>
              <c:f>Sheet5!$A$6:$A$10</c:f>
              <c:strCache>
                <c:ptCount val="4"/>
                <c:pt idx="0">
                  <c:v>Accessory</c:v>
                </c:pt>
                <c:pt idx="1">
                  <c:v>Laptop</c:v>
                </c:pt>
                <c:pt idx="2">
                  <c:v>Phone</c:v>
                </c:pt>
                <c:pt idx="3">
                  <c:v>Tablet</c:v>
                </c:pt>
              </c:strCache>
            </c:strRef>
          </c:cat>
          <c:val>
            <c:numRef>
              <c:f>Sheet5!$B$6:$B$10</c:f>
              <c:numCache>
                <c:formatCode>General</c:formatCode>
                <c:ptCount val="4"/>
                <c:pt idx="0">
                  <c:v>11</c:v>
                </c:pt>
                <c:pt idx="1">
                  <c:v>7</c:v>
                </c:pt>
                <c:pt idx="2">
                  <c:v>20</c:v>
                </c:pt>
                <c:pt idx="3">
                  <c:v>15</c:v>
                </c:pt>
              </c:numCache>
            </c:numRef>
          </c:val>
          <c:extLst>
            <c:ext xmlns:c16="http://schemas.microsoft.com/office/drawing/2014/chart" uri="{C3380CC4-5D6E-409C-BE32-E72D297353CC}">
              <c16:uniqueId val="{00000000-50AA-4BD8-A896-3A03EDC0A1D0}"/>
            </c:ext>
          </c:extLst>
        </c:ser>
        <c:ser>
          <c:idx val="1"/>
          <c:order val="1"/>
          <c:tx>
            <c:strRef>
              <c:f>Sheet5!$C$3:$C$5</c:f>
              <c:strCache>
                <c:ptCount val="1"/>
                <c:pt idx="0">
                  <c:v>Feb</c:v>
                </c:pt>
              </c:strCache>
            </c:strRef>
          </c:tx>
          <c:spPr>
            <a:solidFill>
              <a:schemeClr val="accent2"/>
            </a:solidFill>
            <a:ln>
              <a:noFill/>
            </a:ln>
            <a:effectLst/>
            <a:sp3d/>
          </c:spPr>
          <c:invertIfNegative val="0"/>
          <c:cat>
            <c:strRef>
              <c:f>Sheet5!$A$6:$A$10</c:f>
              <c:strCache>
                <c:ptCount val="4"/>
                <c:pt idx="0">
                  <c:v>Accessory</c:v>
                </c:pt>
                <c:pt idx="1">
                  <c:v>Laptop</c:v>
                </c:pt>
                <c:pt idx="2">
                  <c:v>Phone</c:v>
                </c:pt>
                <c:pt idx="3">
                  <c:v>Tablet</c:v>
                </c:pt>
              </c:strCache>
            </c:strRef>
          </c:cat>
          <c:val>
            <c:numRef>
              <c:f>Sheet5!$C$6:$C$10</c:f>
              <c:numCache>
                <c:formatCode>General</c:formatCode>
                <c:ptCount val="4"/>
                <c:pt idx="0">
                  <c:v>17</c:v>
                </c:pt>
                <c:pt idx="1">
                  <c:v>4</c:v>
                </c:pt>
                <c:pt idx="2">
                  <c:v>21</c:v>
                </c:pt>
                <c:pt idx="3">
                  <c:v>14</c:v>
                </c:pt>
              </c:numCache>
            </c:numRef>
          </c:val>
          <c:extLst>
            <c:ext xmlns:c16="http://schemas.microsoft.com/office/drawing/2014/chart" uri="{C3380CC4-5D6E-409C-BE32-E72D297353CC}">
              <c16:uniqueId val="{00000015-50AA-4BD8-A896-3A03EDC0A1D0}"/>
            </c:ext>
          </c:extLst>
        </c:ser>
        <c:ser>
          <c:idx val="2"/>
          <c:order val="2"/>
          <c:tx>
            <c:strRef>
              <c:f>Sheet5!$D$3:$D$5</c:f>
              <c:strCache>
                <c:ptCount val="1"/>
                <c:pt idx="0">
                  <c:v>Mar</c:v>
                </c:pt>
              </c:strCache>
            </c:strRef>
          </c:tx>
          <c:spPr>
            <a:solidFill>
              <a:schemeClr val="accent3"/>
            </a:solidFill>
            <a:ln>
              <a:noFill/>
            </a:ln>
            <a:effectLst/>
            <a:sp3d/>
          </c:spPr>
          <c:invertIfNegative val="0"/>
          <c:cat>
            <c:strRef>
              <c:f>Sheet5!$A$6:$A$10</c:f>
              <c:strCache>
                <c:ptCount val="4"/>
                <c:pt idx="0">
                  <c:v>Accessory</c:v>
                </c:pt>
                <c:pt idx="1">
                  <c:v>Laptop</c:v>
                </c:pt>
                <c:pt idx="2">
                  <c:v>Phone</c:v>
                </c:pt>
                <c:pt idx="3">
                  <c:v>Tablet</c:v>
                </c:pt>
              </c:strCache>
            </c:strRef>
          </c:cat>
          <c:val>
            <c:numRef>
              <c:f>Sheet5!$D$6:$D$10</c:f>
              <c:numCache>
                <c:formatCode>General</c:formatCode>
                <c:ptCount val="4"/>
                <c:pt idx="0">
                  <c:v>11</c:v>
                </c:pt>
                <c:pt idx="1">
                  <c:v>19</c:v>
                </c:pt>
                <c:pt idx="2">
                  <c:v>7</c:v>
                </c:pt>
                <c:pt idx="3">
                  <c:v>19</c:v>
                </c:pt>
              </c:numCache>
            </c:numRef>
          </c:val>
          <c:extLst>
            <c:ext xmlns:c16="http://schemas.microsoft.com/office/drawing/2014/chart" uri="{C3380CC4-5D6E-409C-BE32-E72D297353CC}">
              <c16:uniqueId val="{00000016-50AA-4BD8-A896-3A03EDC0A1D0}"/>
            </c:ext>
          </c:extLst>
        </c:ser>
        <c:ser>
          <c:idx val="3"/>
          <c:order val="3"/>
          <c:tx>
            <c:strRef>
              <c:f>Sheet5!$E$3:$E$5</c:f>
              <c:strCache>
                <c:ptCount val="1"/>
                <c:pt idx="0">
                  <c:v>Apr</c:v>
                </c:pt>
              </c:strCache>
            </c:strRef>
          </c:tx>
          <c:spPr>
            <a:solidFill>
              <a:schemeClr val="accent4"/>
            </a:solidFill>
            <a:ln>
              <a:noFill/>
            </a:ln>
            <a:effectLst/>
            <a:sp3d/>
          </c:spPr>
          <c:invertIfNegative val="0"/>
          <c:cat>
            <c:strRef>
              <c:f>Sheet5!$A$6:$A$10</c:f>
              <c:strCache>
                <c:ptCount val="4"/>
                <c:pt idx="0">
                  <c:v>Accessory</c:v>
                </c:pt>
                <c:pt idx="1">
                  <c:v>Laptop</c:v>
                </c:pt>
                <c:pt idx="2">
                  <c:v>Phone</c:v>
                </c:pt>
                <c:pt idx="3">
                  <c:v>Tablet</c:v>
                </c:pt>
              </c:strCache>
            </c:strRef>
          </c:cat>
          <c:val>
            <c:numRef>
              <c:f>Sheet5!$E$6:$E$10</c:f>
              <c:numCache>
                <c:formatCode>General</c:formatCode>
                <c:ptCount val="4"/>
                <c:pt idx="0">
                  <c:v>3</c:v>
                </c:pt>
                <c:pt idx="1">
                  <c:v>2</c:v>
                </c:pt>
                <c:pt idx="2">
                  <c:v>4</c:v>
                </c:pt>
                <c:pt idx="3">
                  <c:v>8</c:v>
                </c:pt>
              </c:numCache>
            </c:numRef>
          </c:val>
          <c:extLst>
            <c:ext xmlns:c16="http://schemas.microsoft.com/office/drawing/2014/chart" uri="{C3380CC4-5D6E-409C-BE32-E72D297353CC}">
              <c16:uniqueId val="{00000017-50AA-4BD8-A896-3A03EDC0A1D0}"/>
            </c:ext>
          </c:extLst>
        </c:ser>
        <c:ser>
          <c:idx val="4"/>
          <c:order val="4"/>
          <c:tx>
            <c:strRef>
              <c:f>Sheet5!$F$3:$F$5</c:f>
              <c:strCache>
                <c:ptCount val="1"/>
                <c:pt idx="0">
                  <c:v>May</c:v>
                </c:pt>
              </c:strCache>
            </c:strRef>
          </c:tx>
          <c:spPr>
            <a:solidFill>
              <a:schemeClr val="accent5"/>
            </a:solidFill>
            <a:ln>
              <a:noFill/>
            </a:ln>
            <a:effectLst/>
            <a:sp3d/>
          </c:spPr>
          <c:invertIfNegative val="0"/>
          <c:cat>
            <c:strRef>
              <c:f>Sheet5!$A$6:$A$10</c:f>
              <c:strCache>
                <c:ptCount val="4"/>
                <c:pt idx="0">
                  <c:v>Accessory</c:v>
                </c:pt>
                <c:pt idx="1">
                  <c:v>Laptop</c:v>
                </c:pt>
                <c:pt idx="2">
                  <c:v>Phone</c:v>
                </c:pt>
                <c:pt idx="3">
                  <c:v>Tablet</c:v>
                </c:pt>
              </c:strCache>
            </c:strRef>
          </c:cat>
          <c:val>
            <c:numRef>
              <c:f>Sheet5!$F$6:$F$10</c:f>
              <c:numCache>
                <c:formatCode>General</c:formatCode>
                <c:ptCount val="4"/>
                <c:pt idx="0">
                  <c:v>2</c:v>
                </c:pt>
                <c:pt idx="1">
                  <c:v>1</c:v>
                </c:pt>
                <c:pt idx="2">
                  <c:v>12</c:v>
                </c:pt>
                <c:pt idx="3">
                  <c:v>6</c:v>
                </c:pt>
              </c:numCache>
            </c:numRef>
          </c:val>
          <c:extLst>
            <c:ext xmlns:c16="http://schemas.microsoft.com/office/drawing/2014/chart" uri="{C3380CC4-5D6E-409C-BE32-E72D297353CC}">
              <c16:uniqueId val="{00000018-50AA-4BD8-A896-3A03EDC0A1D0}"/>
            </c:ext>
          </c:extLst>
        </c:ser>
        <c:ser>
          <c:idx val="5"/>
          <c:order val="5"/>
          <c:tx>
            <c:strRef>
              <c:f>Sheet5!$G$3:$G$5</c:f>
              <c:strCache>
                <c:ptCount val="1"/>
                <c:pt idx="0">
                  <c:v>Jun</c:v>
                </c:pt>
              </c:strCache>
            </c:strRef>
          </c:tx>
          <c:spPr>
            <a:solidFill>
              <a:schemeClr val="accent6"/>
            </a:solidFill>
            <a:ln>
              <a:noFill/>
            </a:ln>
            <a:effectLst/>
            <a:sp3d/>
          </c:spPr>
          <c:invertIfNegative val="0"/>
          <c:cat>
            <c:strRef>
              <c:f>Sheet5!$A$6:$A$10</c:f>
              <c:strCache>
                <c:ptCount val="4"/>
                <c:pt idx="0">
                  <c:v>Accessory</c:v>
                </c:pt>
                <c:pt idx="1">
                  <c:v>Laptop</c:v>
                </c:pt>
                <c:pt idx="2">
                  <c:v>Phone</c:v>
                </c:pt>
                <c:pt idx="3">
                  <c:v>Tablet</c:v>
                </c:pt>
              </c:strCache>
            </c:strRef>
          </c:cat>
          <c:val>
            <c:numRef>
              <c:f>Sheet5!$G$6:$G$10</c:f>
              <c:numCache>
                <c:formatCode>General</c:formatCode>
                <c:ptCount val="4"/>
                <c:pt idx="0">
                  <c:v>17</c:v>
                </c:pt>
                <c:pt idx="1">
                  <c:v>10</c:v>
                </c:pt>
                <c:pt idx="2">
                  <c:v>12</c:v>
                </c:pt>
                <c:pt idx="3">
                  <c:v>12</c:v>
                </c:pt>
              </c:numCache>
            </c:numRef>
          </c:val>
          <c:extLst>
            <c:ext xmlns:c16="http://schemas.microsoft.com/office/drawing/2014/chart" uri="{C3380CC4-5D6E-409C-BE32-E72D297353CC}">
              <c16:uniqueId val="{00000019-50AA-4BD8-A896-3A03EDC0A1D0}"/>
            </c:ext>
          </c:extLst>
        </c:ser>
        <c:ser>
          <c:idx val="6"/>
          <c:order val="6"/>
          <c:tx>
            <c:strRef>
              <c:f>Sheet5!$H$3:$H$5</c:f>
              <c:strCache>
                <c:ptCount val="1"/>
                <c:pt idx="0">
                  <c:v>Jul</c:v>
                </c:pt>
              </c:strCache>
            </c:strRef>
          </c:tx>
          <c:spPr>
            <a:solidFill>
              <a:schemeClr val="accent1">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Sheet5!$H$6:$H$10</c:f>
              <c:numCache>
                <c:formatCode>General</c:formatCode>
                <c:ptCount val="4"/>
                <c:pt idx="0">
                  <c:v>15</c:v>
                </c:pt>
                <c:pt idx="1">
                  <c:v>19</c:v>
                </c:pt>
                <c:pt idx="2">
                  <c:v>16</c:v>
                </c:pt>
                <c:pt idx="3">
                  <c:v>15</c:v>
                </c:pt>
              </c:numCache>
            </c:numRef>
          </c:val>
          <c:extLst>
            <c:ext xmlns:c16="http://schemas.microsoft.com/office/drawing/2014/chart" uri="{C3380CC4-5D6E-409C-BE32-E72D297353CC}">
              <c16:uniqueId val="{0000001A-50AA-4BD8-A896-3A03EDC0A1D0}"/>
            </c:ext>
          </c:extLst>
        </c:ser>
        <c:ser>
          <c:idx val="7"/>
          <c:order val="7"/>
          <c:tx>
            <c:strRef>
              <c:f>Sheet5!$I$3:$I$5</c:f>
              <c:strCache>
                <c:ptCount val="1"/>
                <c:pt idx="0">
                  <c:v>Aug</c:v>
                </c:pt>
              </c:strCache>
            </c:strRef>
          </c:tx>
          <c:spPr>
            <a:solidFill>
              <a:schemeClr val="accent2">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Sheet5!$I$6:$I$10</c:f>
              <c:numCache>
                <c:formatCode>General</c:formatCode>
                <c:ptCount val="4"/>
                <c:pt idx="0">
                  <c:v>3</c:v>
                </c:pt>
                <c:pt idx="1">
                  <c:v>5</c:v>
                </c:pt>
                <c:pt idx="2">
                  <c:v>12</c:v>
                </c:pt>
                <c:pt idx="3">
                  <c:v>20</c:v>
                </c:pt>
              </c:numCache>
            </c:numRef>
          </c:val>
          <c:extLst>
            <c:ext xmlns:c16="http://schemas.microsoft.com/office/drawing/2014/chart" uri="{C3380CC4-5D6E-409C-BE32-E72D297353CC}">
              <c16:uniqueId val="{0000001B-50AA-4BD8-A896-3A03EDC0A1D0}"/>
            </c:ext>
          </c:extLst>
        </c:ser>
        <c:ser>
          <c:idx val="8"/>
          <c:order val="8"/>
          <c:tx>
            <c:strRef>
              <c:f>Sheet5!$J$3:$J$5</c:f>
              <c:strCache>
                <c:ptCount val="1"/>
                <c:pt idx="0">
                  <c:v>Sep</c:v>
                </c:pt>
              </c:strCache>
            </c:strRef>
          </c:tx>
          <c:spPr>
            <a:solidFill>
              <a:schemeClr val="accent3">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Sheet5!$J$6:$J$10</c:f>
              <c:numCache>
                <c:formatCode>General</c:formatCode>
                <c:ptCount val="4"/>
                <c:pt idx="0">
                  <c:v>9</c:v>
                </c:pt>
                <c:pt idx="1">
                  <c:v>7</c:v>
                </c:pt>
                <c:pt idx="2">
                  <c:v>19</c:v>
                </c:pt>
                <c:pt idx="3">
                  <c:v>7</c:v>
                </c:pt>
              </c:numCache>
            </c:numRef>
          </c:val>
          <c:extLst>
            <c:ext xmlns:c16="http://schemas.microsoft.com/office/drawing/2014/chart" uri="{C3380CC4-5D6E-409C-BE32-E72D297353CC}">
              <c16:uniqueId val="{0000001C-50AA-4BD8-A896-3A03EDC0A1D0}"/>
            </c:ext>
          </c:extLst>
        </c:ser>
        <c:ser>
          <c:idx val="9"/>
          <c:order val="9"/>
          <c:tx>
            <c:strRef>
              <c:f>Sheet5!$K$3:$K$5</c:f>
              <c:strCache>
                <c:ptCount val="1"/>
                <c:pt idx="0">
                  <c:v>Oct</c:v>
                </c:pt>
              </c:strCache>
            </c:strRef>
          </c:tx>
          <c:spPr>
            <a:solidFill>
              <a:schemeClr val="accent4">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Sheet5!$K$6:$K$10</c:f>
              <c:numCache>
                <c:formatCode>General</c:formatCode>
                <c:ptCount val="4"/>
                <c:pt idx="0">
                  <c:v>14</c:v>
                </c:pt>
                <c:pt idx="1">
                  <c:v>18</c:v>
                </c:pt>
                <c:pt idx="2">
                  <c:v>18</c:v>
                </c:pt>
                <c:pt idx="3">
                  <c:v>4</c:v>
                </c:pt>
              </c:numCache>
            </c:numRef>
          </c:val>
          <c:extLst>
            <c:ext xmlns:c16="http://schemas.microsoft.com/office/drawing/2014/chart" uri="{C3380CC4-5D6E-409C-BE32-E72D297353CC}">
              <c16:uniqueId val="{0000001D-50AA-4BD8-A896-3A03EDC0A1D0}"/>
            </c:ext>
          </c:extLst>
        </c:ser>
        <c:ser>
          <c:idx val="10"/>
          <c:order val="10"/>
          <c:tx>
            <c:strRef>
              <c:f>Sheet5!$L$3:$L$5</c:f>
              <c:strCache>
                <c:ptCount val="1"/>
                <c:pt idx="0">
                  <c:v>Nov</c:v>
                </c:pt>
              </c:strCache>
            </c:strRef>
          </c:tx>
          <c:spPr>
            <a:solidFill>
              <a:schemeClr val="accent5">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Sheet5!$L$6:$L$10</c:f>
              <c:numCache>
                <c:formatCode>General</c:formatCode>
                <c:ptCount val="4"/>
                <c:pt idx="0">
                  <c:v>20</c:v>
                </c:pt>
                <c:pt idx="1">
                  <c:v>15</c:v>
                </c:pt>
                <c:pt idx="2">
                  <c:v>9</c:v>
                </c:pt>
                <c:pt idx="3">
                  <c:v>2</c:v>
                </c:pt>
              </c:numCache>
            </c:numRef>
          </c:val>
          <c:extLst>
            <c:ext xmlns:c16="http://schemas.microsoft.com/office/drawing/2014/chart" uri="{C3380CC4-5D6E-409C-BE32-E72D297353CC}">
              <c16:uniqueId val="{0000001E-50AA-4BD8-A896-3A03EDC0A1D0}"/>
            </c:ext>
          </c:extLst>
        </c:ser>
        <c:ser>
          <c:idx val="11"/>
          <c:order val="11"/>
          <c:tx>
            <c:strRef>
              <c:f>Sheet5!$M$3:$M$5</c:f>
              <c:strCache>
                <c:ptCount val="1"/>
                <c:pt idx="0">
                  <c:v>Dec</c:v>
                </c:pt>
              </c:strCache>
            </c:strRef>
          </c:tx>
          <c:spPr>
            <a:solidFill>
              <a:schemeClr val="accent6">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Sheet5!$M$6:$M$10</c:f>
              <c:numCache>
                <c:formatCode>General</c:formatCode>
                <c:ptCount val="4"/>
                <c:pt idx="0">
                  <c:v>8</c:v>
                </c:pt>
                <c:pt idx="1">
                  <c:v>15</c:v>
                </c:pt>
                <c:pt idx="2">
                  <c:v>7</c:v>
                </c:pt>
                <c:pt idx="3">
                  <c:v>12</c:v>
                </c:pt>
              </c:numCache>
            </c:numRef>
          </c:val>
          <c:extLst>
            <c:ext xmlns:c16="http://schemas.microsoft.com/office/drawing/2014/chart" uri="{C3380CC4-5D6E-409C-BE32-E72D297353CC}">
              <c16:uniqueId val="{0000001F-50AA-4BD8-A896-3A03EDC0A1D0}"/>
            </c:ext>
          </c:extLst>
        </c:ser>
        <c:dLbls>
          <c:showLegendKey val="0"/>
          <c:showVal val="0"/>
          <c:showCatName val="0"/>
          <c:showSerName val="0"/>
          <c:showPercent val="0"/>
          <c:showBubbleSize val="0"/>
        </c:dLbls>
        <c:gapWidth val="150"/>
        <c:shape val="box"/>
        <c:axId val="570820888"/>
        <c:axId val="570818264"/>
        <c:axId val="0"/>
      </c:bar3DChart>
      <c:catAx>
        <c:axId val="570820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818264"/>
        <c:crosses val="autoZero"/>
        <c:auto val="1"/>
        <c:lblAlgn val="ctr"/>
        <c:lblOffset val="100"/>
        <c:noMultiLvlLbl val="0"/>
      </c:catAx>
      <c:valAx>
        <c:axId val="570818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820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dashboard and pivot table.xlsx]Sheet5!PivotTable6</c:name>
    <c:fmtId val="38"/>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Sheet5!$B$3:$B$5</c:f>
              <c:strCache>
                <c:ptCount val="1"/>
                <c:pt idx="0">
                  <c:v>Jan</c:v>
                </c:pt>
              </c:strCache>
            </c:strRef>
          </c:tx>
          <c:spPr>
            <a:solidFill>
              <a:schemeClr val="accent1"/>
            </a:solidFill>
            <a:ln>
              <a:noFill/>
            </a:ln>
            <a:effectLst/>
            <a:sp3d/>
          </c:spPr>
          <c:invertIfNegative val="0"/>
          <c:cat>
            <c:strRef>
              <c:f>Sheet5!$A$6:$A$10</c:f>
              <c:strCache>
                <c:ptCount val="4"/>
                <c:pt idx="0">
                  <c:v>Accessory</c:v>
                </c:pt>
                <c:pt idx="1">
                  <c:v>Laptop</c:v>
                </c:pt>
                <c:pt idx="2">
                  <c:v>Phone</c:v>
                </c:pt>
                <c:pt idx="3">
                  <c:v>Tablet</c:v>
                </c:pt>
              </c:strCache>
            </c:strRef>
          </c:cat>
          <c:val>
            <c:numRef>
              <c:f>Sheet5!$B$6:$B$10</c:f>
              <c:numCache>
                <c:formatCode>General</c:formatCode>
                <c:ptCount val="4"/>
                <c:pt idx="0">
                  <c:v>11</c:v>
                </c:pt>
                <c:pt idx="1">
                  <c:v>7</c:v>
                </c:pt>
                <c:pt idx="2">
                  <c:v>20</c:v>
                </c:pt>
                <c:pt idx="3">
                  <c:v>15</c:v>
                </c:pt>
              </c:numCache>
            </c:numRef>
          </c:val>
          <c:extLst>
            <c:ext xmlns:c16="http://schemas.microsoft.com/office/drawing/2014/chart" uri="{C3380CC4-5D6E-409C-BE32-E72D297353CC}">
              <c16:uniqueId val="{00000000-5F0B-4B9C-B784-BDBE4E5F73F3}"/>
            </c:ext>
          </c:extLst>
        </c:ser>
        <c:ser>
          <c:idx val="1"/>
          <c:order val="1"/>
          <c:tx>
            <c:strRef>
              <c:f>Sheet5!$C$3:$C$5</c:f>
              <c:strCache>
                <c:ptCount val="1"/>
                <c:pt idx="0">
                  <c:v>Feb</c:v>
                </c:pt>
              </c:strCache>
            </c:strRef>
          </c:tx>
          <c:spPr>
            <a:solidFill>
              <a:schemeClr val="accent2"/>
            </a:solidFill>
            <a:ln>
              <a:noFill/>
            </a:ln>
            <a:effectLst/>
            <a:sp3d/>
          </c:spPr>
          <c:invertIfNegative val="0"/>
          <c:cat>
            <c:strRef>
              <c:f>Sheet5!$A$6:$A$10</c:f>
              <c:strCache>
                <c:ptCount val="4"/>
                <c:pt idx="0">
                  <c:v>Accessory</c:v>
                </c:pt>
                <c:pt idx="1">
                  <c:v>Laptop</c:v>
                </c:pt>
                <c:pt idx="2">
                  <c:v>Phone</c:v>
                </c:pt>
                <c:pt idx="3">
                  <c:v>Tablet</c:v>
                </c:pt>
              </c:strCache>
            </c:strRef>
          </c:cat>
          <c:val>
            <c:numRef>
              <c:f>Sheet5!$C$6:$C$10</c:f>
              <c:numCache>
                <c:formatCode>General</c:formatCode>
                <c:ptCount val="4"/>
                <c:pt idx="0">
                  <c:v>17</c:v>
                </c:pt>
                <c:pt idx="1">
                  <c:v>4</c:v>
                </c:pt>
                <c:pt idx="2">
                  <c:v>21</c:v>
                </c:pt>
                <c:pt idx="3">
                  <c:v>14</c:v>
                </c:pt>
              </c:numCache>
            </c:numRef>
          </c:val>
          <c:extLst>
            <c:ext xmlns:c16="http://schemas.microsoft.com/office/drawing/2014/chart" uri="{C3380CC4-5D6E-409C-BE32-E72D297353CC}">
              <c16:uniqueId val="{00000015-5F0B-4B9C-B784-BDBE4E5F73F3}"/>
            </c:ext>
          </c:extLst>
        </c:ser>
        <c:ser>
          <c:idx val="2"/>
          <c:order val="2"/>
          <c:tx>
            <c:strRef>
              <c:f>Sheet5!$D$3:$D$5</c:f>
              <c:strCache>
                <c:ptCount val="1"/>
                <c:pt idx="0">
                  <c:v>Mar</c:v>
                </c:pt>
              </c:strCache>
            </c:strRef>
          </c:tx>
          <c:spPr>
            <a:solidFill>
              <a:schemeClr val="accent3"/>
            </a:solidFill>
            <a:ln>
              <a:noFill/>
            </a:ln>
            <a:effectLst/>
            <a:sp3d/>
          </c:spPr>
          <c:invertIfNegative val="0"/>
          <c:cat>
            <c:strRef>
              <c:f>Sheet5!$A$6:$A$10</c:f>
              <c:strCache>
                <c:ptCount val="4"/>
                <c:pt idx="0">
                  <c:v>Accessory</c:v>
                </c:pt>
                <c:pt idx="1">
                  <c:v>Laptop</c:v>
                </c:pt>
                <c:pt idx="2">
                  <c:v>Phone</c:v>
                </c:pt>
                <c:pt idx="3">
                  <c:v>Tablet</c:v>
                </c:pt>
              </c:strCache>
            </c:strRef>
          </c:cat>
          <c:val>
            <c:numRef>
              <c:f>Sheet5!$D$6:$D$10</c:f>
              <c:numCache>
                <c:formatCode>General</c:formatCode>
                <c:ptCount val="4"/>
                <c:pt idx="0">
                  <c:v>11</c:v>
                </c:pt>
                <c:pt idx="1">
                  <c:v>19</c:v>
                </c:pt>
                <c:pt idx="2">
                  <c:v>7</c:v>
                </c:pt>
                <c:pt idx="3">
                  <c:v>19</c:v>
                </c:pt>
              </c:numCache>
            </c:numRef>
          </c:val>
          <c:extLst>
            <c:ext xmlns:c16="http://schemas.microsoft.com/office/drawing/2014/chart" uri="{C3380CC4-5D6E-409C-BE32-E72D297353CC}">
              <c16:uniqueId val="{00000016-5F0B-4B9C-B784-BDBE4E5F73F3}"/>
            </c:ext>
          </c:extLst>
        </c:ser>
        <c:ser>
          <c:idx val="3"/>
          <c:order val="3"/>
          <c:tx>
            <c:strRef>
              <c:f>Sheet5!$E$3:$E$5</c:f>
              <c:strCache>
                <c:ptCount val="1"/>
                <c:pt idx="0">
                  <c:v>Apr</c:v>
                </c:pt>
              </c:strCache>
            </c:strRef>
          </c:tx>
          <c:spPr>
            <a:solidFill>
              <a:schemeClr val="accent4"/>
            </a:solidFill>
            <a:ln>
              <a:noFill/>
            </a:ln>
            <a:effectLst/>
            <a:sp3d/>
          </c:spPr>
          <c:invertIfNegative val="0"/>
          <c:cat>
            <c:strRef>
              <c:f>Sheet5!$A$6:$A$10</c:f>
              <c:strCache>
                <c:ptCount val="4"/>
                <c:pt idx="0">
                  <c:v>Accessory</c:v>
                </c:pt>
                <c:pt idx="1">
                  <c:v>Laptop</c:v>
                </c:pt>
                <c:pt idx="2">
                  <c:v>Phone</c:v>
                </c:pt>
                <c:pt idx="3">
                  <c:v>Tablet</c:v>
                </c:pt>
              </c:strCache>
            </c:strRef>
          </c:cat>
          <c:val>
            <c:numRef>
              <c:f>Sheet5!$E$6:$E$10</c:f>
              <c:numCache>
                <c:formatCode>General</c:formatCode>
                <c:ptCount val="4"/>
                <c:pt idx="0">
                  <c:v>3</c:v>
                </c:pt>
                <c:pt idx="1">
                  <c:v>2</c:v>
                </c:pt>
                <c:pt idx="2">
                  <c:v>4</c:v>
                </c:pt>
                <c:pt idx="3">
                  <c:v>8</c:v>
                </c:pt>
              </c:numCache>
            </c:numRef>
          </c:val>
          <c:extLst>
            <c:ext xmlns:c16="http://schemas.microsoft.com/office/drawing/2014/chart" uri="{C3380CC4-5D6E-409C-BE32-E72D297353CC}">
              <c16:uniqueId val="{00000017-5F0B-4B9C-B784-BDBE4E5F73F3}"/>
            </c:ext>
          </c:extLst>
        </c:ser>
        <c:ser>
          <c:idx val="4"/>
          <c:order val="4"/>
          <c:tx>
            <c:strRef>
              <c:f>Sheet5!$F$3:$F$5</c:f>
              <c:strCache>
                <c:ptCount val="1"/>
                <c:pt idx="0">
                  <c:v>May</c:v>
                </c:pt>
              </c:strCache>
            </c:strRef>
          </c:tx>
          <c:spPr>
            <a:solidFill>
              <a:schemeClr val="accent5"/>
            </a:solidFill>
            <a:ln>
              <a:noFill/>
            </a:ln>
            <a:effectLst/>
            <a:sp3d/>
          </c:spPr>
          <c:invertIfNegative val="0"/>
          <c:cat>
            <c:strRef>
              <c:f>Sheet5!$A$6:$A$10</c:f>
              <c:strCache>
                <c:ptCount val="4"/>
                <c:pt idx="0">
                  <c:v>Accessory</c:v>
                </c:pt>
                <c:pt idx="1">
                  <c:v>Laptop</c:v>
                </c:pt>
                <c:pt idx="2">
                  <c:v>Phone</c:v>
                </c:pt>
                <c:pt idx="3">
                  <c:v>Tablet</c:v>
                </c:pt>
              </c:strCache>
            </c:strRef>
          </c:cat>
          <c:val>
            <c:numRef>
              <c:f>Sheet5!$F$6:$F$10</c:f>
              <c:numCache>
                <c:formatCode>General</c:formatCode>
                <c:ptCount val="4"/>
                <c:pt idx="0">
                  <c:v>2</c:v>
                </c:pt>
                <c:pt idx="1">
                  <c:v>1</c:v>
                </c:pt>
                <c:pt idx="2">
                  <c:v>12</c:v>
                </c:pt>
                <c:pt idx="3">
                  <c:v>6</c:v>
                </c:pt>
              </c:numCache>
            </c:numRef>
          </c:val>
          <c:extLst>
            <c:ext xmlns:c16="http://schemas.microsoft.com/office/drawing/2014/chart" uri="{C3380CC4-5D6E-409C-BE32-E72D297353CC}">
              <c16:uniqueId val="{00000018-5F0B-4B9C-B784-BDBE4E5F73F3}"/>
            </c:ext>
          </c:extLst>
        </c:ser>
        <c:ser>
          <c:idx val="5"/>
          <c:order val="5"/>
          <c:tx>
            <c:strRef>
              <c:f>Sheet5!$G$3:$G$5</c:f>
              <c:strCache>
                <c:ptCount val="1"/>
                <c:pt idx="0">
                  <c:v>Jun</c:v>
                </c:pt>
              </c:strCache>
            </c:strRef>
          </c:tx>
          <c:spPr>
            <a:solidFill>
              <a:schemeClr val="accent6"/>
            </a:solidFill>
            <a:ln>
              <a:noFill/>
            </a:ln>
            <a:effectLst/>
            <a:sp3d/>
          </c:spPr>
          <c:invertIfNegative val="0"/>
          <c:cat>
            <c:strRef>
              <c:f>Sheet5!$A$6:$A$10</c:f>
              <c:strCache>
                <c:ptCount val="4"/>
                <c:pt idx="0">
                  <c:v>Accessory</c:v>
                </c:pt>
                <c:pt idx="1">
                  <c:v>Laptop</c:v>
                </c:pt>
                <c:pt idx="2">
                  <c:v>Phone</c:v>
                </c:pt>
                <c:pt idx="3">
                  <c:v>Tablet</c:v>
                </c:pt>
              </c:strCache>
            </c:strRef>
          </c:cat>
          <c:val>
            <c:numRef>
              <c:f>Sheet5!$G$6:$G$10</c:f>
              <c:numCache>
                <c:formatCode>General</c:formatCode>
                <c:ptCount val="4"/>
                <c:pt idx="0">
                  <c:v>17</c:v>
                </c:pt>
                <c:pt idx="1">
                  <c:v>10</c:v>
                </c:pt>
                <c:pt idx="2">
                  <c:v>12</c:v>
                </c:pt>
                <c:pt idx="3">
                  <c:v>12</c:v>
                </c:pt>
              </c:numCache>
            </c:numRef>
          </c:val>
          <c:extLst>
            <c:ext xmlns:c16="http://schemas.microsoft.com/office/drawing/2014/chart" uri="{C3380CC4-5D6E-409C-BE32-E72D297353CC}">
              <c16:uniqueId val="{00000019-5F0B-4B9C-B784-BDBE4E5F73F3}"/>
            </c:ext>
          </c:extLst>
        </c:ser>
        <c:ser>
          <c:idx val="6"/>
          <c:order val="6"/>
          <c:tx>
            <c:strRef>
              <c:f>Sheet5!$H$3:$H$5</c:f>
              <c:strCache>
                <c:ptCount val="1"/>
                <c:pt idx="0">
                  <c:v>Jul</c:v>
                </c:pt>
              </c:strCache>
            </c:strRef>
          </c:tx>
          <c:spPr>
            <a:solidFill>
              <a:schemeClr val="accent1">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Sheet5!$H$6:$H$10</c:f>
              <c:numCache>
                <c:formatCode>General</c:formatCode>
                <c:ptCount val="4"/>
                <c:pt idx="0">
                  <c:v>15</c:v>
                </c:pt>
                <c:pt idx="1">
                  <c:v>19</c:v>
                </c:pt>
                <c:pt idx="2">
                  <c:v>16</c:v>
                </c:pt>
                <c:pt idx="3">
                  <c:v>15</c:v>
                </c:pt>
              </c:numCache>
            </c:numRef>
          </c:val>
          <c:extLst>
            <c:ext xmlns:c16="http://schemas.microsoft.com/office/drawing/2014/chart" uri="{C3380CC4-5D6E-409C-BE32-E72D297353CC}">
              <c16:uniqueId val="{0000001A-5F0B-4B9C-B784-BDBE4E5F73F3}"/>
            </c:ext>
          </c:extLst>
        </c:ser>
        <c:ser>
          <c:idx val="7"/>
          <c:order val="7"/>
          <c:tx>
            <c:strRef>
              <c:f>Sheet5!$I$3:$I$5</c:f>
              <c:strCache>
                <c:ptCount val="1"/>
                <c:pt idx="0">
                  <c:v>Aug</c:v>
                </c:pt>
              </c:strCache>
            </c:strRef>
          </c:tx>
          <c:spPr>
            <a:solidFill>
              <a:schemeClr val="accent2">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Sheet5!$I$6:$I$10</c:f>
              <c:numCache>
                <c:formatCode>General</c:formatCode>
                <c:ptCount val="4"/>
                <c:pt idx="0">
                  <c:v>3</c:v>
                </c:pt>
                <c:pt idx="1">
                  <c:v>5</c:v>
                </c:pt>
                <c:pt idx="2">
                  <c:v>12</c:v>
                </c:pt>
                <c:pt idx="3">
                  <c:v>20</c:v>
                </c:pt>
              </c:numCache>
            </c:numRef>
          </c:val>
          <c:extLst>
            <c:ext xmlns:c16="http://schemas.microsoft.com/office/drawing/2014/chart" uri="{C3380CC4-5D6E-409C-BE32-E72D297353CC}">
              <c16:uniqueId val="{0000001B-5F0B-4B9C-B784-BDBE4E5F73F3}"/>
            </c:ext>
          </c:extLst>
        </c:ser>
        <c:ser>
          <c:idx val="8"/>
          <c:order val="8"/>
          <c:tx>
            <c:strRef>
              <c:f>Sheet5!$J$3:$J$5</c:f>
              <c:strCache>
                <c:ptCount val="1"/>
                <c:pt idx="0">
                  <c:v>Sep</c:v>
                </c:pt>
              </c:strCache>
            </c:strRef>
          </c:tx>
          <c:spPr>
            <a:solidFill>
              <a:schemeClr val="accent3">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Sheet5!$J$6:$J$10</c:f>
              <c:numCache>
                <c:formatCode>General</c:formatCode>
                <c:ptCount val="4"/>
                <c:pt idx="0">
                  <c:v>9</c:v>
                </c:pt>
                <c:pt idx="1">
                  <c:v>7</c:v>
                </c:pt>
                <c:pt idx="2">
                  <c:v>19</c:v>
                </c:pt>
                <c:pt idx="3">
                  <c:v>7</c:v>
                </c:pt>
              </c:numCache>
            </c:numRef>
          </c:val>
          <c:extLst>
            <c:ext xmlns:c16="http://schemas.microsoft.com/office/drawing/2014/chart" uri="{C3380CC4-5D6E-409C-BE32-E72D297353CC}">
              <c16:uniqueId val="{0000001C-5F0B-4B9C-B784-BDBE4E5F73F3}"/>
            </c:ext>
          </c:extLst>
        </c:ser>
        <c:ser>
          <c:idx val="9"/>
          <c:order val="9"/>
          <c:tx>
            <c:strRef>
              <c:f>Sheet5!$K$3:$K$5</c:f>
              <c:strCache>
                <c:ptCount val="1"/>
                <c:pt idx="0">
                  <c:v>Oct</c:v>
                </c:pt>
              </c:strCache>
            </c:strRef>
          </c:tx>
          <c:spPr>
            <a:solidFill>
              <a:schemeClr val="accent4">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Sheet5!$K$6:$K$10</c:f>
              <c:numCache>
                <c:formatCode>General</c:formatCode>
                <c:ptCount val="4"/>
                <c:pt idx="0">
                  <c:v>14</c:v>
                </c:pt>
                <c:pt idx="1">
                  <c:v>18</c:v>
                </c:pt>
                <c:pt idx="2">
                  <c:v>18</c:v>
                </c:pt>
                <c:pt idx="3">
                  <c:v>4</c:v>
                </c:pt>
              </c:numCache>
            </c:numRef>
          </c:val>
          <c:extLst>
            <c:ext xmlns:c16="http://schemas.microsoft.com/office/drawing/2014/chart" uri="{C3380CC4-5D6E-409C-BE32-E72D297353CC}">
              <c16:uniqueId val="{0000001D-5F0B-4B9C-B784-BDBE4E5F73F3}"/>
            </c:ext>
          </c:extLst>
        </c:ser>
        <c:ser>
          <c:idx val="10"/>
          <c:order val="10"/>
          <c:tx>
            <c:strRef>
              <c:f>Sheet5!$L$3:$L$5</c:f>
              <c:strCache>
                <c:ptCount val="1"/>
                <c:pt idx="0">
                  <c:v>Nov</c:v>
                </c:pt>
              </c:strCache>
            </c:strRef>
          </c:tx>
          <c:spPr>
            <a:solidFill>
              <a:schemeClr val="accent5">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Sheet5!$L$6:$L$10</c:f>
              <c:numCache>
                <c:formatCode>General</c:formatCode>
                <c:ptCount val="4"/>
                <c:pt idx="0">
                  <c:v>20</c:v>
                </c:pt>
                <c:pt idx="1">
                  <c:v>15</c:v>
                </c:pt>
                <c:pt idx="2">
                  <c:v>9</c:v>
                </c:pt>
                <c:pt idx="3">
                  <c:v>2</c:v>
                </c:pt>
              </c:numCache>
            </c:numRef>
          </c:val>
          <c:extLst>
            <c:ext xmlns:c16="http://schemas.microsoft.com/office/drawing/2014/chart" uri="{C3380CC4-5D6E-409C-BE32-E72D297353CC}">
              <c16:uniqueId val="{0000001E-5F0B-4B9C-B784-BDBE4E5F73F3}"/>
            </c:ext>
          </c:extLst>
        </c:ser>
        <c:ser>
          <c:idx val="11"/>
          <c:order val="11"/>
          <c:tx>
            <c:strRef>
              <c:f>Sheet5!$M$3:$M$5</c:f>
              <c:strCache>
                <c:ptCount val="1"/>
                <c:pt idx="0">
                  <c:v>Dec</c:v>
                </c:pt>
              </c:strCache>
            </c:strRef>
          </c:tx>
          <c:spPr>
            <a:solidFill>
              <a:schemeClr val="accent6">
                <a:lumMod val="60000"/>
              </a:schemeClr>
            </a:solidFill>
            <a:ln>
              <a:noFill/>
            </a:ln>
            <a:effectLst/>
            <a:sp3d/>
          </c:spPr>
          <c:invertIfNegative val="0"/>
          <c:cat>
            <c:strRef>
              <c:f>Sheet5!$A$6:$A$10</c:f>
              <c:strCache>
                <c:ptCount val="4"/>
                <c:pt idx="0">
                  <c:v>Accessory</c:v>
                </c:pt>
                <c:pt idx="1">
                  <c:v>Laptop</c:v>
                </c:pt>
                <c:pt idx="2">
                  <c:v>Phone</c:v>
                </c:pt>
                <c:pt idx="3">
                  <c:v>Tablet</c:v>
                </c:pt>
              </c:strCache>
            </c:strRef>
          </c:cat>
          <c:val>
            <c:numRef>
              <c:f>Sheet5!$M$6:$M$10</c:f>
              <c:numCache>
                <c:formatCode>General</c:formatCode>
                <c:ptCount val="4"/>
                <c:pt idx="0">
                  <c:v>8</c:v>
                </c:pt>
                <c:pt idx="1">
                  <c:v>15</c:v>
                </c:pt>
                <c:pt idx="2">
                  <c:v>7</c:v>
                </c:pt>
                <c:pt idx="3">
                  <c:v>12</c:v>
                </c:pt>
              </c:numCache>
            </c:numRef>
          </c:val>
          <c:extLst>
            <c:ext xmlns:c16="http://schemas.microsoft.com/office/drawing/2014/chart" uri="{C3380CC4-5D6E-409C-BE32-E72D297353CC}">
              <c16:uniqueId val="{0000001F-5F0B-4B9C-B784-BDBE4E5F73F3}"/>
            </c:ext>
          </c:extLst>
        </c:ser>
        <c:dLbls>
          <c:showLegendKey val="0"/>
          <c:showVal val="0"/>
          <c:showCatName val="0"/>
          <c:showSerName val="0"/>
          <c:showPercent val="0"/>
          <c:showBubbleSize val="0"/>
        </c:dLbls>
        <c:gapWidth val="150"/>
        <c:shape val="box"/>
        <c:axId val="570820888"/>
        <c:axId val="570818264"/>
        <c:axId val="0"/>
      </c:bar3DChart>
      <c:catAx>
        <c:axId val="570820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818264"/>
        <c:crosses val="autoZero"/>
        <c:auto val="1"/>
        <c:lblAlgn val="ctr"/>
        <c:lblOffset val="100"/>
        <c:noMultiLvlLbl val="0"/>
      </c:catAx>
      <c:valAx>
        <c:axId val="570818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820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dashboard and pivot table.xlsx]Sheet4!Sales Trend by Sate</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pivotFmt>
      <c:pivotFmt>
        <c:idx val="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pivotFmt>
      <c:pivotFmt>
        <c:idx val="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pivotFmt>
      <c:pivotFmt>
        <c:idx val="1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pivotFmt>
      <c:pivotFmt>
        <c:idx val="1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pivotFmt>
    </c:pivotFmts>
    <c:plotArea>
      <c:layout/>
      <c:lineChart>
        <c:grouping val="standard"/>
        <c:varyColors val="0"/>
        <c:ser>
          <c:idx val="0"/>
          <c:order val="0"/>
          <c:tx>
            <c:strRef>
              <c:f>Sheet4!$B$3:$B$5</c:f>
              <c:strCache>
                <c:ptCount val="1"/>
                <c:pt idx="0">
                  <c:v>Jan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Sheet4!$A$6</c:f>
              <c:strCache>
                <c:ptCount val="1"/>
                <c:pt idx="0">
                  <c:v>Total</c:v>
                </c:pt>
              </c:strCache>
            </c:strRef>
          </c:cat>
          <c:val>
            <c:numRef>
              <c:f>Sheet4!$B$6</c:f>
              <c:numCache>
                <c:formatCode>General</c:formatCode>
                <c:ptCount val="1"/>
                <c:pt idx="0">
                  <c:v>20650</c:v>
                </c:pt>
              </c:numCache>
            </c:numRef>
          </c:val>
          <c:smooth val="0"/>
          <c:extLst>
            <c:ext xmlns:c16="http://schemas.microsoft.com/office/drawing/2014/chart" uri="{C3380CC4-5D6E-409C-BE32-E72D297353CC}">
              <c16:uniqueId val="{00000000-ADF9-4D13-9F02-F800D92DA510}"/>
            </c:ext>
          </c:extLst>
        </c:ser>
        <c:ser>
          <c:idx val="1"/>
          <c:order val="1"/>
          <c:tx>
            <c:strRef>
              <c:f>Sheet4!$C$3:$C$5</c:f>
              <c:strCache>
                <c:ptCount val="1"/>
                <c:pt idx="0">
                  <c:v>Feb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Sheet4!$A$6</c:f>
              <c:strCache>
                <c:ptCount val="1"/>
                <c:pt idx="0">
                  <c:v>Total</c:v>
                </c:pt>
              </c:strCache>
            </c:strRef>
          </c:cat>
          <c:val>
            <c:numRef>
              <c:f>Sheet4!$C$6</c:f>
              <c:numCache>
                <c:formatCode>General</c:formatCode>
                <c:ptCount val="1"/>
                <c:pt idx="0">
                  <c:v>18750</c:v>
                </c:pt>
              </c:numCache>
            </c:numRef>
          </c:val>
          <c:smooth val="0"/>
          <c:extLst>
            <c:ext xmlns:c16="http://schemas.microsoft.com/office/drawing/2014/chart" uri="{C3380CC4-5D6E-409C-BE32-E72D297353CC}">
              <c16:uniqueId val="{00000020-ADF9-4D13-9F02-F800D92DA510}"/>
            </c:ext>
          </c:extLst>
        </c:ser>
        <c:ser>
          <c:idx val="2"/>
          <c:order val="2"/>
          <c:tx>
            <c:strRef>
              <c:f>Sheet4!$D$3:$D$5</c:f>
              <c:strCache>
                <c:ptCount val="1"/>
                <c:pt idx="0">
                  <c:v>Mar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Sheet4!$A$6</c:f>
              <c:strCache>
                <c:ptCount val="1"/>
                <c:pt idx="0">
                  <c:v>Total</c:v>
                </c:pt>
              </c:strCache>
            </c:strRef>
          </c:cat>
          <c:val>
            <c:numRef>
              <c:f>Sheet4!$D$6</c:f>
              <c:numCache>
                <c:formatCode>General</c:formatCode>
                <c:ptCount val="1"/>
                <c:pt idx="0">
                  <c:v>24950</c:v>
                </c:pt>
              </c:numCache>
            </c:numRef>
          </c:val>
          <c:smooth val="0"/>
          <c:extLst>
            <c:ext xmlns:c16="http://schemas.microsoft.com/office/drawing/2014/chart" uri="{C3380CC4-5D6E-409C-BE32-E72D297353CC}">
              <c16:uniqueId val="{00000021-ADF9-4D13-9F02-F800D92DA510}"/>
            </c:ext>
          </c:extLst>
        </c:ser>
        <c:ser>
          <c:idx val="3"/>
          <c:order val="3"/>
          <c:tx>
            <c:strRef>
              <c:f>Sheet4!$E$3:$E$5</c:f>
              <c:strCache>
                <c:ptCount val="1"/>
                <c:pt idx="0">
                  <c:v>Apr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Sheet4!$A$6</c:f>
              <c:strCache>
                <c:ptCount val="1"/>
                <c:pt idx="0">
                  <c:v>Total</c:v>
                </c:pt>
              </c:strCache>
            </c:strRef>
          </c:cat>
          <c:val>
            <c:numRef>
              <c:f>Sheet4!$E$6</c:f>
              <c:numCache>
                <c:formatCode>General</c:formatCode>
                <c:ptCount val="1"/>
                <c:pt idx="0">
                  <c:v>6150</c:v>
                </c:pt>
              </c:numCache>
            </c:numRef>
          </c:val>
          <c:smooth val="0"/>
          <c:extLst>
            <c:ext xmlns:c16="http://schemas.microsoft.com/office/drawing/2014/chart" uri="{C3380CC4-5D6E-409C-BE32-E72D297353CC}">
              <c16:uniqueId val="{00000022-ADF9-4D13-9F02-F800D92DA510}"/>
            </c:ext>
          </c:extLst>
        </c:ser>
        <c:ser>
          <c:idx val="4"/>
          <c:order val="4"/>
          <c:tx>
            <c:strRef>
              <c:f>Sheet4!$F$3:$F$5</c:f>
              <c:strCache>
                <c:ptCount val="1"/>
                <c:pt idx="0">
                  <c:v>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Sheet4!$A$6</c:f>
              <c:strCache>
                <c:ptCount val="1"/>
                <c:pt idx="0">
                  <c:v>Total</c:v>
                </c:pt>
              </c:strCache>
            </c:strRef>
          </c:cat>
          <c:val>
            <c:numRef>
              <c:f>Sheet4!$F$6</c:f>
              <c:numCache>
                <c:formatCode>General</c:formatCode>
                <c:ptCount val="1"/>
                <c:pt idx="0">
                  <c:v>8700</c:v>
                </c:pt>
              </c:numCache>
            </c:numRef>
          </c:val>
          <c:smooth val="0"/>
          <c:extLst>
            <c:ext xmlns:c16="http://schemas.microsoft.com/office/drawing/2014/chart" uri="{C3380CC4-5D6E-409C-BE32-E72D297353CC}">
              <c16:uniqueId val="{00000023-ADF9-4D13-9F02-F800D92DA510}"/>
            </c:ext>
          </c:extLst>
        </c:ser>
        <c:ser>
          <c:idx val="5"/>
          <c:order val="5"/>
          <c:tx>
            <c:strRef>
              <c:f>Sheet4!$G$3:$G$5</c:f>
              <c:strCache>
                <c:ptCount val="1"/>
                <c:pt idx="0">
                  <c:v>Jun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Sheet4!$A$6</c:f>
              <c:strCache>
                <c:ptCount val="1"/>
                <c:pt idx="0">
                  <c:v>Total</c:v>
                </c:pt>
              </c:strCache>
            </c:strRef>
          </c:cat>
          <c:val>
            <c:numRef>
              <c:f>Sheet4!$G$6</c:f>
              <c:numCache>
                <c:formatCode>General</c:formatCode>
                <c:ptCount val="1"/>
                <c:pt idx="0">
                  <c:v>18450</c:v>
                </c:pt>
              </c:numCache>
            </c:numRef>
          </c:val>
          <c:smooth val="0"/>
          <c:extLst>
            <c:ext xmlns:c16="http://schemas.microsoft.com/office/drawing/2014/chart" uri="{C3380CC4-5D6E-409C-BE32-E72D297353CC}">
              <c16:uniqueId val="{00000024-ADF9-4D13-9F02-F800D92DA510}"/>
            </c:ext>
          </c:extLst>
        </c:ser>
        <c:ser>
          <c:idx val="6"/>
          <c:order val="6"/>
          <c:tx>
            <c:strRef>
              <c:f>Sheet4!$H$3:$H$5</c:f>
              <c:strCache>
                <c:ptCount val="1"/>
                <c:pt idx="0">
                  <c:v>Jul</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Sheet4!$A$6</c:f>
              <c:strCache>
                <c:ptCount val="1"/>
                <c:pt idx="0">
                  <c:v>Total</c:v>
                </c:pt>
              </c:strCache>
            </c:strRef>
          </c:cat>
          <c:val>
            <c:numRef>
              <c:f>Sheet4!$H$6</c:f>
              <c:numCache>
                <c:formatCode>General</c:formatCode>
                <c:ptCount val="1"/>
                <c:pt idx="0">
                  <c:v>28450</c:v>
                </c:pt>
              </c:numCache>
            </c:numRef>
          </c:val>
          <c:smooth val="0"/>
          <c:extLst>
            <c:ext xmlns:c16="http://schemas.microsoft.com/office/drawing/2014/chart" uri="{C3380CC4-5D6E-409C-BE32-E72D297353CC}">
              <c16:uniqueId val="{00000025-ADF9-4D13-9F02-F800D92DA510}"/>
            </c:ext>
          </c:extLst>
        </c:ser>
        <c:ser>
          <c:idx val="7"/>
          <c:order val="7"/>
          <c:tx>
            <c:strRef>
              <c:f>Sheet4!$I$3:$I$5</c:f>
              <c:strCache>
                <c:ptCount val="1"/>
                <c:pt idx="0">
                  <c:v>Aug</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Sheet4!$A$6</c:f>
              <c:strCache>
                <c:ptCount val="1"/>
                <c:pt idx="0">
                  <c:v>Total</c:v>
                </c:pt>
              </c:strCache>
            </c:strRef>
          </c:cat>
          <c:val>
            <c:numRef>
              <c:f>Sheet4!$I$6</c:f>
              <c:numCache>
                <c:formatCode>General</c:formatCode>
                <c:ptCount val="1"/>
                <c:pt idx="0">
                  <c:v>16150</c:v>
                </c:pt>
              </c:numCache>
            </c:numRef>
          </c:val>
          <c:smooth val="0"/>
          <c:extLst>
            <c:ext xmlns:c16="http://schemas.microsoft.com/office/drawing/2014/chart" uri="{C3380CC4-5D6E-409C-BE32-E72D297353CC}">
              <c16:uniqueId val="{00000026-ADF9-4D13-9F02-F800D92DA510}"/>
            </c:ext>
          </c:extLst>
        </c:ser>
        <c:ser>
          <c:idx val="8"/>
          <c:order val="8"/>
          <c:tx>
            <c:strRef>
              <c:f>Sheet4!$J$3:$J$5</c:f>
              <c:strCache>
                <c:ptCount val="1"/>
                <c:pt idx="0">
                  <c:v>Sep</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Sheet4!$A$6</c:f>
              <c:strCache>
                <c:ptCount val="1"/>
                <c:pt idx="0">
                  <c:v>Total</c:v>
                </c:pt>
              </c:strCache>
            </c:strRef>
          </c:cat>
          <c:val>
            <c:numRef>
              <c:f>Sheet4!$J$6</c:f>
              <c:numCache>
                <c:formatCode>General</c:formatCode>
                <c:ptCount val="1"/>
                <c:pt idx="0">
                  <c:v>17650</c:v>
                </c:pt>
              </c:numCache>
            </c:numRef>
          </c:val>
          <c:smooth val="0"/>
          <c:extLst>
            <c:ext xmlns:c16="http://schemas.microsoft.com/office/drawing/2014/chart" uri="{C3380CC4-5D6E-409C-BE32-E72D297353CC}">
              <c16:uniqueId val="{00000027-ADF9-4D13-9F02-F800D92DA510}"/>
            </c:ext>
          </c:extLst>
        </c:ser>
        <c:ser>
          <c:idx val="9"/>
          <c:order val="9"/>
          <c:tx>
            <c:strRef>
              <c:f>Sheet4!$K$3:$K$5</c:f>
              <c:strCache>
                <c:ptCount val="1"/>
                <c:pt idx="0">
                  <c:v>Oct</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Sheet4!$A$6</c:f>
              <c:strCache>
                <c:ptCount val="1"/>
                <c:pt idx="0">
                  <c:v>Total</c:v>
                </c:pt>
              </c:strCache>
            </c:strRef>
          </c:cat>
          <c:val>
            <c:numRef>
              <c:f>Sheet4!$K$6</c:f>
              <c:numCache>
                <c:formatCode>General</c:formatCode>
                <c:ptCount val="1"/>
                <c:pt idx="0">
                  <c:v>25300</c:v>
                </c:pt>
              </c:numCache>
            </c:numRef>
          </c:val>
          <c:smooth val="0"/>
          <c:extLst>
            <c:ext xmlns:c16="http://schemas.microsoft.com/office/drawing/2014/chart" uri="{C3380CC4-5D6E-409C-BE32-E72D297353CC}">
              <c16:uniqueId val="{00000028-ADF9-4D13-9F02-F800D92DA510}"/>
            </c:ext>
          </c:extLst>
        </c:ser>
        <c:ser>
          <c:idx val="10"/>
          <c:order val="10"/>
          <c:tx>
            <c:strRef>
              <c:f>Sheet4!$L$3:$L$5</c:f>
              <c:strCache>
                <c:ptCount val="1"/>
                <c:pt idx="0">
                  <c:v>Nov</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Sheet4!$A$6</c:f>
              <c:strCache>
                <c:ptCount val="1"/>
                <c:pt idx="0">
                  <c:v>Total</c:v>
                </c:pt>
              </c:strCache>
            </c:strRef>
          </c:cat>
          <c:val>
            <c:numRef>
              <c:f>Sheet4!$L$6</c:f>
              <c:numCache>
                <c:formatCode>General</c:formatCode>
                <c:ptCount val="1"/>
                <c:pt idx="0">
                  <c:v>18100</c:v>
                </c:pt>
              </c:numCache>
            </c:numRef>
          </c:val>
          <c:smooth val="0"/>
          <c:extLst>
            <c:ext xmlns:c16="http://schemas.microsoft.com/office/drawing/2014/chart" uri="{C3380CC4-5D6E-409C-BE32-E72D297353CC}">
              <c16:uniqueId val="{00000029-ADF9-4D13-9F02-F800D92DA510}"/>
            </c:ext>
          </c:extLst>
        </c:ser>
        <c:ser>
          <c:idx val="11"/>
          <c:order val="11"/>
          <c:tx>
            <c:strRef>
              <c:f>Sheet4!$M$3:$M$5</c:f>
              <c:strCache>
                <c:ptCount val="1"/>
                <c:pt idx="0">
                  <c:v>Dec</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Sheet4!$A$6</c:f>
              <c:strCache>
                <c:ptCount val="1"/>
                <c:pt idx="0">
                  <c:v>Total</c:v>
                </c:pt>
              </c:strCache>
            </c:strRef>
          </c:cat>
          <c:val>
            <c:numRef>
              <c:f>Sheet4!$M$6</c:f>
              <c:numCache>
                <c:formatCode>General</c:formatCode>
                <c:ptCount val="1"/>
                <c:pt idx="0">
                  <c:v>19500</c:v>
                </c:pt>
              </c:numCache>
            </c:numRef>
          </c:val>
          <c:smooth val="0"/>
          <c:extLst>
            <c:ext xmlns:c16="http://schemas.microsoft.com/office/drawing/2014/chart" uri="{C3380CC4-5D6E-409C-BE32-E72D297353CC}">
              <c16:uniqueId val="{0000002A-ADF9-4D13-9F02-F800D92DA510}"/>
            </c:ext>
          </c:extLst>
        </c:ser>
        <c:dLbls>
          <c:showLegendKey val="0"/>
          <c:showVal val="0"/>
          <c:showCatName val="0"/>
          <c:showSerName val="0"/>
          <c:showPercent val="0"/>
          <c:showBubbleSize val="0"/>
        </c:dLbls>
        <c:marker val="1"/>
        <c:smooth val="0"/>
        <c:axId val="569786744"/>
        <c:axId val="569791008"/>
      </c:lineChart>
      <c:catAx>
        <c:axId val="569786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91008"/>
        <c:crosses val="autoZero"/>
        <c:auto val="1"/>
        <c:lblAlgn val="ctr"/>
        <c:lblOffset val="100"/>
        <c:noMultiLvlLbl val="0"/>
      </c:catAx>
      <c:valAx>
        <c:axId val="56979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86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dashboard and pivot table.xlsx]Sheet3!Average of Total Sales by Product</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Accessory</c:v>
                </c:pt>
                <c:pt idx="1">
                  <c:v>Laptop</c:v>
                </c:pt>
                <c:pt idx="2">
                  <c:v>Phone</c:v>
                </c:pt>
                <c:pt idx="3">
                  <c:v>Tablet</c:v>
                </c:pt>
              </c:strCache>
            </c:strRef>
          </c:cat>
          <c:val>
            <c:numRef>
              <c:f>Sheet3!$B$4:$B$8</c:f>
              <c:numCache>
                <c:formatCode>General</c:formatCode>
                <c:ptCount val="4"/>
                <c:pt idx="0">
                  <c:v>541.66666666666663</c:v>
                </c:pt>
                <c:pt idx="1">
                  <c:v>7507.6923076923076</c:v>
                </c:pt>
                <c:pt idx="2">
                  <c:v>6038.4615384615381</c:v>
                </c:pt>
                <c:pt idx="3">
                  <c:v>3350</c:v>
                </c:pt>
              </c:numCache>
            </c:numRef>
          </c:val>
          <c:extLst>
            <c:ext xmlns:c16="http://schemas.microsoft.com/office/drawing/2014/chart" uri="{C3380CC4-5D6E-409C-BE32-E72D297353CC}">
              <c16:uniqueId val="{00000000-41B1-470A-8F09-6E6CD81C97CA}"/>
            </c:ext>
          </c:extLst>
        </c:ser>
        <c:dLbls>
          <c:showLegendKey val="0"/>
          <c:showVal val="0"/>
          <c:showCatName val="0"/>
          <c:showSerName val="0"/>
          <c:showPercent val="0"/>
          <c:showBubbleSize val="0"/>
        </c:dLbls>
        <c:gapWidth val="182"/>
        <c:axId val="565781136"/>
        <c:axId val="565786712"/>
      </c:barChart>
      <c:catAx>
        <c:axId val="56578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86712"/>
        <c:crosses val="autoZero"/>
        <c:auto val="1"/>
        <c:lblAlgn val="ctr"/>
        <c:lblOffset val="100"/>
        <c:noMultiLvlLbl val="0"/>
      </c:catAx>
      <c:valAx>
        <c:axId val="565786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8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 dashboard and pivot table.xlsx]Sheet2!Total Sales By Region</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97600</c:v>
                </c:pt>
                <c:pt idx="1">
                  <c:v>40200</c:v>
                </c:pt>
                <c:pt idx="2">
                  <c:v>6500</c:v>
                </c:pt>
                <c:pt idx="3">
                  <c:v>78500</c:v>
                </c:pt>
              </c:numCache>
            </c:numRef>
          </c:val>
          <c:extLst>
            <c:ext xmlns:c16="http://schemas.microsoft.com/office/drawing/2014/chart" uri="{C3380CC4-5D6E-409C-BE32-E72D297353CC}">
              <c16:uniqueId val="{00000000-567C-41EC-8897-D033AA663B26}"/>
            </c:ext>
          </c:extLst>
        </c:ser>
        <c:dLbls>
          <c:showLegendKey val="0"/>
          <c:showVal val="0"/>
          <c:showCatName val="0"/>
          <c:showSerName val="0"/>
          <c:showPercent val="0"/>
          <c:showBubbleSize val="0"/>
        </c:dLbls>
        <c:gapWidth val="219"/>
        <c:overlap val="-27"/>
        <c:axId val="562543568"/>
        <c:axId val="562539304"/>
      </c:barChart>
      <c:catAx>
        <c:axId val="56254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39304"/>
        <c:crosses val="autoZero"/>
        <c:auto val="1"/>
        <c:lblAlgn val="ctr"/>
        <c:lblOffset val="100"/>
        <c:noMultiLvlLbl val="0"/>
      </c:catAx>
      <c:valAx>
        <c:axId val="562539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4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9525</xdr:colOff>
      <xdr:row>6</xdr:row>
      <xdr:rowOff>47625</xdr:rowOff>
    </xdr:from>
    <xdr:to>
      <xdr:col>19</xdr:col>
      <xdr:colOff>64771</xdr:colOff>
      <xdr:row>43</xdr:row>
      <xdr:rowOff>9525</xdr:rowOff>
    </xdr:to>
    <xdr:sp macro="" textlink="">
      <xdr:nvSpPr>
        <xdr:cNvPr id="12" name="Rectangle 11">
          <a:extLst>
            <a:ext uri="{FF2B5EF4-FFF2-40B4-BE49-F238E27FC236}">
              <a16:creationId xmlns:a16="http://schemas.microsoft.com/office/drawing/2014/main" id="{9D312919-7015-43C2-A957-25D3D9699862}"/>
            </a:ext>
          </a:extLst>
        </xdr:cNvPr>
        <xdr:cNvSpPr/>
      </xdr:nvSpPr>
      <xdr:spPr>
        <a:xfrm>
          <a:off x="619125" y="1133475"/>
          <a:ext cx="11085196" cy="665797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281940</xdr:colOff>
      <xdr:row>6</xdr:row>
      <xdr:rowOff>144780</xdr:rowOff>
    </xdr:from>
    <xdr:to>
      <xdr:col>7</xdr:col>
      <xdr:colOff>297180</xdr:colOff>
      <xdr:row>11</xdr:row>
      <xdr:rowOff>22860</xdr:rowOff>
    </xdr:to>
    <xdr:sp macro="" textlink="">
      <xdr:nvSpPr>
        <xdr:cNvPr id="13" name="Rectangle: Rounded Corners 12">
          <a:extLst>
            <a:ext uri="{FF2B5EF4-FFF2-40B4-BE49-F238E27FC236}">
              <a16:creationId xmlns:a16="http://schemas.microsoft.com/office/drawing/2014/main" id="{C7284BC6-C8C7-4DB2-B1EE-99E1927A22F7}"/>
            </a:ext>
          </a:extLst>
        </xdr:cNvPr>
        <xdr:cNvSpPr/>
      </xdr:nvSpPr>
      <xdr:spPr>
        <a:xfrm>
          <a:off x="2720340" y="1242060"/>
          <a:ext cx="1905000" cy="792480"/>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lumMod val="85000"/>
                  <a:lumOff val="15000"/>
                </a:schemeClr>
              </a:solidFill>
              <a:latin typeface="Arial" panose="020B0604020202020204" pitchFamily="34" charset="0"/>
              <a:cs typeface="Arial" panose="020B0604020202020204" pitchFamily="34" charset="0"/>
            </a:rPr>
            <a:t>TOTAL</a:t>
          </a:r>
          <a:r>
            <a:rPr lang="en-US" sz="1800" b="1" baseline="0">
              <a:solidFill>
                <a:schemeClr val="tx1">
                  <a:lumMod val="85000"/>
                  <a:lumOff val="15000"/>
                </a:schemeClr>
              </a:solidFill>
              <a:latin typeface="Arial" panose="020B0604020202020204" pitchFamily="34" charset="0"/>
              <a:cs typeface="Arial" panose="020B0604020202020204" pitchFamily="34" charset="0"/>
            </a:rPr>
            <a:t> SALES</a:t>
          </a:r>
          <a:endParaRPr lang="en-US" sz="1800" b="1">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xdr:from>
      <xdr:col>7</xdr:col>
      <xdr:colOff>396240</xdr:colOff>
      <xdr:row>6</xdr:row>
      <xdr:rowOff>152400</xdr:rowOff>
    </xdr:from>
    <xdr:to>
      <xdr:col>11</xdr:col>
      <xdr:colOff>441960</xdr:colOff>
      <xdr:row>11</xdr:row>
      <xdr:rowOff>45720</xdr:rowOff>
    </xdr:to>
    <xdr:sp macro="" textlink="">
      <xdr:nvSpPr>
        <xdr:cNvPr id="14" name="Rectangle: Rounded Corners 13">
          <a:extLst>
            <a:ext uri="{FF2B5EF4-FFF2-40B4-BE49-F238E27FC236}">
              <a16:creationId xmlns:a16="http://schemas.microsoft.com/office/drawing/2014/main" id="{16CB43D4-E394-421B-919A-4BB2536232AB}"/>
            </a:ext>
          </a:extLst>
        </xdr:cNvPr>
        <xdr:cNvSpPr/>
      </xdr:nvSpPr>
      <xdr:spPr>
        <a:xfrm>
          <a:off x="4724400" y="1249680"/>
          <a:ext cx="2484120" cy="807720"/>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lumMod val="85000"/>
                  <a:lumOff val="15000"/>
                </a:schemeClr>
              </a:solidFill>
              <a:latin typeface="Arial" panose="020B0604020202020204" pitchFamily="34" charset="0"/>
              <a:cs typeface="Arial" panose="020B0604020202020204" pitchFamily="34" charset="0"/>
            </a:rPr>
            <a:t>TOTAL QUANTATIY</a:t>
          </a:r>
        </a:p>
      </xdr:txBody>
    </xdr:sp>
    <xdr:clientData/>
  </xdr:twoCellAnchor>
  <xdr:twoCellAnchor>
    <xdr:from>
      <xdr:col>11</xdr:col>
      <xdr:colOff>548640</xdr:colOff>
      <xdr:row>6</xdr:row>
      <xdr:rowOff>152400</xdr:rowOff>
    </xdr:from>
    <xdr:to>
      <xdr:col>15</xdr:col>
      <xdr:colOff>68580</xdr:colOff>
      <xdr:row>11</xdr:row>
      <xdr:rowOff>60960</xdr:rowOff>
    </xdr:to>
    <xdr:sp macro="" textlink="">
      <xdr:nvSpPr>
        <xdr:cNvPr id="15" name="Rectangle: Rounded Corners 14">
          <a:extLst>
            <a:ext uri="{FF2B5EF4-FFF2-40B4-BE49-F238E27FC236}">
              <a16:creationId xmlns:a16="http://schemas.microsoft.com/office/drawing/2014/main" id="{C2692694-AA5C-44FD-86B6-93D9810F97A5}"/>
            </a:ext>
          </a:extLst>
        </xdr:cNvPr>
        <xdr:cNvSpPr/>
      </xdr:nvSpPr>
      <xdr:spPr>
        <a:xfrm>
          <a:off x="7315200" y="1249680"/>
          <a:ext cx="1958340" cy="822960"/>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lumMod val="85000"/>
                  <a:lumOff val="15000"/>
                </a:schemeClr>
              </a:solidFill>
              <a:latin typeface="Arial" panose="020B0604020202020204" pitchFamily="34" charset="0"/>
              <a:cs typeface="Arial" panose="020B0604020202020204" pitchFamily="34" charset="0"/>
            </a:rPr>
            <a:t>HIGHEST SALE</a:t>
          </a:r>
        </a:p>
      </xdr:txBody>
    </xdr:sp>
    <xdr:clientData/>
  </xdr:twoCellAnchor>
  <xdr:twoCellAnchor>
    <xdr:from>
      <xdr:col>15</xdr:col>
      <xdr:colOff>190500</xdr:colOff>
      <xdr:row>6</xdr:row>
      <xdr:rowOff>160020</xdr:rowOff>
    </xdr:from>
    <xdr:to>
      <xdr:col>18</xdr:col>
      <xdr:colOff>312420</xdr:colOff>
      <xdr:row>11</xdr:row>
      <xdr:rowOff>60960</xdr:rowOff>
    </xdr:to>
    <xdr:sp macro="" textlink="">
      <xdr:nvSpPr>
        <xdr:cNvPr id="16" name="Rectangle: Rounded Corners 15">
          <a:extLst>
            <a:ext uri="{FF2B5EF4-FFF2-40B4-BE49-F238E27FC236}">
              <a16:creationId xmlns:a16="http://schemas.microsoft.com/office/drawing/2014/main" id="{C09FE371-BB43-4134-9AD2-ECE2124487AC}"/>
            </a:ext>
          </a:extLst>
        </xdr:cNvPr>
        <xdr:cNvSpPr/>
      </xdr:nvSpPr>
      <xdr:spPr>
        <a:xfrm>
          <a:off x="9395460" y="1257300"/>
          <a:ext cx="1950720" cy="815340"/>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lumMod val="85000"/>
                  <a:lumOff val="15000"/>
                </a:schemeClr>
              </a:solidFill>
              <a:latin typeface="Arial" panose="020B0604020202020204" pitchFamily="34" charset="0"/>
              <a:cs typeface="Arial" panose="020B0604020202020204" pitchFamily="34" charset="0"/>
            </a:rPr>
            <a:t>LOWEST SALE</a:t>
          </a:r>
        </a:p>
      </xdr:txBody>
    </xdr:sp>
    <xdr:clientData/>
  </xdr:twoCellAnchor>
  <xdr:oneCellAnchor>
    <xdr:from>
      <xdr:col>5</xdr:col>
      <xdr:colOff>38100</xdr:colOff>
      <xdr:row>8</xdr:row>
      <xdr:rowOff>160020</xdr:rowOff>
    </xdr:from>
    <xdr:ext cx="937260" cy="311496"/>
    <xdr:sp macro="" textlink="Cal!A1">
      <xdr:nvSpPr>
        <xdr:cNvPr id="17" name="TextBox 16">
          <a:extLst>
            <a:ext uri="{FF2B5EF4-FFF2-40B4-BE49-F238E27FC236}">
              <a16:creationId xmlns:a16="http://schemas.microsoft.com/office/drawing/2014/main" id="{7530AA51-2267-4B2F-9221-BD336590771B}"/>
            </a:ext>
          </a:extLst>
        </xdr:cNvPr>
        <xdr:cNvSpPr txBox="1"/>
      </xdr:nvSpPr>
      <xdr:spPr>
        <a:xfrm>
          <a:off x="3147060" y="1623060"/>
          <a:ext cx="937260" cy="311496"/>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3E2F21F7-9E51-4070-B2C6-130E7B0FCEF7}" type="TxLink">
            <a:rPr lang="en-US" sz="1400" b="0" i="0" u="none" strike="noStrike">
              <a:solidFill>
                <a:srgbClr val="000000"/>
              </a:solidFill>
              <a:latin typeface="Calibri"/>
              <a:cs typeface="Calibri"/>
            </a:rPr>
            <a:pPr algn="ctr"/>
            <a:t>222800</a:t>
          </a:fld>
          <a:endParaRPr lang="en-US" sz="1800"/>
        </a:p>
      </xdr:txBody>
    </xdr:sp>
    <xdr:clientData/>
  </xdr:oneCellAnchor>
  <xdr:oneCellAnchor>
    <xdr:from>
      <xdr:col>9</xdr:col>
      <xdr:colOff>22860</xdr:colOff>
      <xdr:row>8</xdr:row>
      <xdr:rowOff>167640</xdr:rowOff>
    </xdr:from>
    <xdr:ext cx="883920" cy="311496"/>
    <xdr:sp macro="" textlink="Cal!A3">
      <xdr:nvSpPr>
        <xdr:cNvPr id="18" name="TextBox 17">
          <a:extLst>
            <a:ext uri="{FF2B5EF4-FFF2-40B4-BE49-F238E27FC236}">
              <a16:creationId xmlns:a16="http://schemas.microsoft.com/office/drawing/2014/main" id="{FE1712F3-A481-4D90-ABA8-495F1C0D23B4}"/>
            </a:ext>
          </a:extLst>
        </xdr:cNvPr>
        <xdr:cNvSpPr txBox="1"/>
      </xdr:nvSpPr>
      <xdr:spPr>
        <a:xfrm>
          <a:off x="5570220" y="1630680"/>
          <a:ext cx="883920" cy="31149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r>
            <a:rPr lang="en-US" sz="1400"/>
            <a:t>543</a:t>
          </a:r>
        </a:p>
      </xdr:txBody>
    </xdr:sp>
    <xdr:clientData/>
  </xdr:oneCellAnchor>
  <xdr:oneCellAnchor>
    <xdr:from>
      <xdr:col>12</xdr:col>
      <xdr:colOff>560869</xdr:colOff>
      <xdr:row>9</xdr:row>
      <xdr:rowOff>7620</xdr:rowOff>
    </xdr:from>
    <xdr:ext cx="734531" cy="311496"/>
    <xdr:sp macro="" textlink="Cal!A5">
      <xdr:nvSpPr>
        <xdr:cNvPr id="19" name="TextBox 18">
          <a:extLst>
            <a:ext uri="{FF2B5EF4-FFF2-40B4-BE49-F238E27FC236}">
              <a16:creationId xmlns:a16="http://schemas.microsoft.com/office/drawing/2014/main" id="{B30A5090-0103-4B13-80D4-1CA3FCF1A5F8}"/>
            </a:ext>
          </a:extLst>
        </xdr:cNvPr>
        <xdr:cNvSpPr txBox="1"/>
      </xdr:nvSpPr>
      <xdr:spPr>
        <a:xfrm>
          <a:off x="7937029" y="1653540"/>
          <a:ext cx="734531" cy="31149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9F4517B5-226C-4C31-8BAB-5A2F6CC0F5A6}" type="TxLink">
            <a:rPr lang="en-US" sz="1400" b="0" i="0" u="none" strike="noStrike">
              <a:solidFill>
                <a:srgbClr val="000000"/>
              </a:solidFill>
              <a:latin typeface="Calibri"/>
              <a:cs typeface="Calibri"/>
            </a:rPr>
            <a:pPr algn="ctr"/>
            <a:t>15200</a:t>
          </a:fld>
          <a:endParaRPr lang="en-US" sz="1400"/>
        </a:p>
      </xdr:txBody>
    </xdr:sp>
    <xdr:clientData/>
  </xdr:oneCellAnchor>
  <xdr:oneCellAnchor>
    <xdr:from>
      <xdr:col>16</xdr:col>
      <xdr:colOff>350520</xdr:colOff>
      <xdr:row>9</xdr:row>
      <xdr:rowOff>15240</xdr:rowOff>
    </xdr:from>
    <xdr:ext cx="457626" cy="311496"/>
    <xdr:sp macro="" textlink="Cal!A7">
      <xdr:nvSpPr>
        <xdr:cNvPr id="20" name="TextBox 19">
          <a:extLst>
            <a:ext uri="{FF2B5EF4-FFF2-40B4-BE49-F238E27FC236}">
              <a16:creationId xmlns:a16="http://schemas.microsoft.com/office/drawing/2014/main" id="{558D408E-2FFF-4E25-BA16-B47C3F49913D}"/>
            </a:ext>
          </a:extLst>
        </xdr:cNvPr>
        <xdr:cNvSpPr txBox="1"/>
      </xdr:nvSpPr>
      <xdr:spPr>
        <a:xfrm>
          <a:off x="10165080" y="1661160"/>
          <a:ext cx="457626" cy="31149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fld id="{92B4819A-1E6B-430F-9752-6E948CB1213A}" type="TxLink">
            <a:rPr lang="en-US" sz="1400" b="0" i="0" u="none" strike="noStrike">
              <a:solidFill>
                <a:srgbClr val="000000"/>
              </a:solidFill>
              <a:latin typeface="Calibri"/>
              <a:cs typeface="Calibri"/>
            </a:rPr>
            <a:pPr/>
            <a:t>100</a:t>
          </a:fld>
          <a:endParaRPr lang="en-US" sz="1400"/>
        </a:p>
      </xdr:txBody>
    </xdr:sp>
    <xdr:clientData/>
  </xdr:oneCellAnchor>
  <xdr:twoCellAnchor>
    <xdr:from>
      <xdr:col>4</xdr:col>
      <xdr:colOff>242456</xdr:colOff>
      <xdr:row>12</xdr:row>
      <xdr:rowOff>114300</xdr:rowOff>
    </xdr:from>
    <xdr:to>
      <xdr:col>11</xdr:col>
      <xdr:colOff>281941</xdr:colOff>
      <xdr:row>25</xdr:row>
      <xdr:rowOff>45720</xdr:rowOff>
    </xdr:to>
    <xdr:graphicFrame macro="">
      <xdr:nvGraphicFramePr>
        <xdr:cNvPr id="21" name="Chart 20" descr="TOTAL SALE BY DATE&#10;">
          <a:extLst>
            <a:ext uri="{FF2B5EF4-FFF2-40B4-BE49-F238E27FC236}">
              <a16:creationId xmlns:a16="http://schemas.microsoft.com/office/drawing/2014/main" id="{176699AE-BAA5-4B5D-BC6B-404EF20A1AF3}"/>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426720</xdr:colOff>
      <xdr:row>25</xdr:row>
      <xdr:rowOff>144780</xdr:rowOff>
    </xdr:from>
    <xdr:to>
      <xdr:col>18</xdr:col>
      <xdr:colOff>346364</xdr:colOff>
      <xdr:row>39</xdr:row>
      <xdr:rowOff>129540</xdr:rowOff>
    </xdr:to>
    <xdr:graphicFrame macro="">
      <xdr:nvGraphicFramePr>
        <xdr:cNvPr id="22" name="Chart 21">
          <a:extLst>
            <a:ext uri="{FF2B5EF4-FFF2-40B4-BE49-F238E27FC236}">
              <a16:creationId xmlns:a16="http://schemas.microsoft.com/office/drawing/2014/main" id="{DF1D1AEA-37DC-436D-B8C0-80E52E90C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358140</xdr:colOff>
      <xdr:row>12</xdr:row>
      <xdr:rowOff>114300</xdr:rowOff>
    </xdr:from>
    <xdr:to>
      <xdr:col>18</xdr:col>
      <xdr:colOff>335280</xdr:colOff>
      <xdr:row>25</xdr:row>
      <xdr:rowOff>53340</xdr:rowOff>
    </xdr:to>
    <xdr:graphicFrame macro="">
      <xdr:nvGraphicFramePr>
        <xdr:cNvPr id="24" name="Chart 23">
          <a:extLst>
            <a:ext uri="{FF2B5EF4-FFF2-40B4-BE49-F238E27FC236}">
              <a16:creationId xmlns:a16="http://schemas.microsoft.com/office/drawing/2014/main" id="{0E90AA6B-BF44-45A1-A20D-0FEAC8A7C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68580</xdr:colOff>
      <xdr:row>25</xdr:row>
      <xdr:rowOff>144780</xdr:rowOff>
    </xdr:from>
    <xdr:to>
      <xdr:col>12</xdr:col>
      <xdr:colOff>335280</xdr:colOff>
      <xdr:row>39</xdr:row>
      <xdr:rowOff>129540</xdr:rowOff>
    </xdr:to>
    <xdr:graphicFrame macro="">
      <xdr:nvGraphicFramePr>
        <xdr:cNvPr id="27" name="Chart 26">
          <a:extLst>
            <a:ext uri="{FF2B5EF4-FFF2-40B4-BE49-F238E27FC236}">
              <a16:creationId xmlns:a16="http://schemas.microsoft.com/office/drawing/2014/main" id="{8BD3BB24-975E-47C3-A6B7-0CC1D8526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232410</xdr:colOff>
      <xdr:row>12</xdr:row>
      <xdr:rowOff>114300</xdr:rowOff>
    </xdr:from>
    <xdr:to>
      <xdr:col>4</xdr:col>
      <xdr:colOff>68580</xdr:colOff>
      <xdr:row>20</xdr:row>
      <xdr:rowOff>95250</xdr:rowOff>
    </xdr:to>
    <mc:AlternateContent xmlns:mc="http://schemas.openxmlformats.org/markup-compatibility/2006" xmlns:a14="http://schemas.microsoft.com/office/drawing/2010/main">
      <mc:Choice Requires="a14">
        <xdr:graphicFrame macro="[0]!Region1_Click">
          <xdr:nvGraphicFramePr>
            <xdr:cNvPr id="29" name="Region 1">
              <a:extLst>
                <a:ext uri="{FF2B5EF4-FFF2-40B4-BE49-F238E27FC236}">
                  <a16:creationId xmlns:a16="http://schemas.microsoft.com/office/drawing/2014/main" id="{CB6792CE-FFDB-4036-9434-9BEE73DBA9C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42010" y="2286000"/>
              <a:ext cx="166497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215265</xdr:colOff>
      <xdr:row>20</xdr:row>
      <xdr:rowOff>142876</xdr:rowOff>
    </xdr:from>
    <xdr:to>
      <xdr:col>4</xdr:col>
      <xdr:colOff>59055</xdr:colOff>
      <xdr:row>31</xdr:row>
      <xdr:rowOff>85725</xdr:rowOff>
    </xdr:to>
    <mc:AlternateContent xmlns:mc="http://schemas.openxmlformats.org/markup-compatibility/2006" xmlns:a14="http://schemas.microsoft.com/office/drawing/2010/main">
      <mc:Choice Requires="a14">
        <xdr:graphicFrame macro="">
          <xdr:nvGraphicFramePr>
            <xdr:cNvPr id="31" name="Date 1">
              <a:extLst>
                <a:ext uri="{FF2B5EF4-FFF2-40B4-BE49-F238E27FC236}">
                  <a16:creationId xmlns:a16="http://schemas.microsoft.com/office/drawing/2014/main" id="{682B499B-C60B-42E9-9FE1-D1F218DDA33A}"/>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824865" y="3762376"/>
              <a:ext cx="1672590" cy="1933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213360</xdr:colOff>
      <xdr:row>31</xdr:row>
      <xdr:rowOff>163831</xdr:rowOff>
    </xdr:from>
    <xdr:to>
      <xdr:col>4</xdr:col>
      <xdr:colOff>64770</xdr:colOff>
      <xdr:row>39</xdr:row>
      <xdr:rowOff>133351</xdr:rowOff>
    </xdr:to>
    <mc:AlternateContent xmlns:mc="http://schemas.openxmlformats.org/markup-compatibility/2006" xmlns:a14="http://schemas.microsoft.com/office/drawing/2010/main">
      <mc:Choice Requires="a14">
        <xdr:graphicFrame macro="">
          <xdr:nvGraphicFramePr>
            <xdr:cNvPr id="32" name="Product 1">
              <a:extLst>
                <a:ext uri="{FF2B5EF4-FFF2-40B4-BE49-F238E27FC236}">
                  <a16:creationId xmlns:a16="http://schemas.microsoft.com/office/drawing/2014/main" id="{CA4C6549-817B-4066-B32D-C65E2528759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22960" y="5774056"/>
              <a:ext cx="168021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236220</xdr:colOff>
      <xdr:row>25</xdr:row>
      <xdr:rowOff>114301</xdr:rowOff>
    </xdr:from>
    <xdr:to>
      <xdr:col>7</xdr:col>
      <xdr:colOff>45720</xdr:colOff>
      <xdr:row>39</xdr:row>
      <xdr:rowOff>129541</xdr:rowOff>
    </xdr:to>
    <mc:AlternateContent xmlns:mc="http://schemas.openxmlformats.org/markup-compatibility/2006" xmlns:a14="http://schemas.microsoft.com/office/drawing/2010/main">
      <mc:Choice Requires="a14">
        <xdr:graphicFrame macro="">
          <xdr:nvGraphicFramePr>
            <xdr:cNvPr id="34" name="Quantity 1">
              <a:extLst>
                <a:ext uri="{FF2B5EF4-FFF2-40B4-BE49-F238E27FC236}">
                  <a16:creationId xmlns:a16="http://schemas.microsoft.com/office/drawing/2014/main" id="{CA3D08A4-3A64-4E25-B8B6-FE9DBA3207D4}"/>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2674620" y="4638676"/>
              <a:ext cx="1695450" cy="2548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219075</xdr:colOff>
      <xdr:row>6</xdr:row>
      <xdr:rowOff>133350</xdr:rowOff>
    </xdr:from>
    <xdr:to>
      <xdr:col>4</xdr:col>
      <xdr:colOff>219075</xdr:colOff>
      <xdr:row>11</xdr:row>
      <xdr:rowOff>66675</xdr:rowOff>
    </xdr:to>
    <xdr:sp macro="" textlink="">
      <xdr:nvSpPr>
        <xdr:cNvPr id="35" name="Rectangle 34">
          <a:extLst>
            <a:ext uri="{FF2B5EF4-FFF2-40B4-BE49-F238E27FC236}">
              <a16:creationId xmlns:a16="http://schemas.microsoft.com/office/drawing/2014/main" id="{A7E6DAD5-3C7A-42B6-82F7-988165A072F2}"/>
            </a:ext>
          </a:extLst>
        </xdr:cNvPr>
        <xdr:cNvSpPr/>
      </xdr:nvSpPr>
      <xdr:spPr>
        <a:xfrm>
          <a:off x="828675" y="1219200"/>
          <a:ext cx="1828800" cy="838200"/>
        </a:xfrm>
        <a:prstGeom prst="rect">
          <a:avLst/>
        </a:prstGeom>
        <a:ln>
          <a:noFill/>
        </a:ln>
        <a:effectLst>
          <a:glow rad="139700">
            <a:schemeClr val="accent2">
              <a:satMod val="175000"/>
              <a:alpha val="40000"/>
            </a:schemeClr>
          </a:glow>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r>
            <a:rPr lang="en-US" sz="2400" b="1">
              <a:solidFill>
                <a:schemeClr val="tx1">
                  <a:lumMod val="85000"/>
                  <a:lumOff val="15000"/>
                </a:schemeClr>
              </a:solidFill>
            </a:rPr>
            <a:t>      SALES</a:t>
          </a:r>
          <a:r>
            <a:rPr lang="en-US" sz="2400" b="1" baseline="0">
              <a:solidFill>
                <a:schemeClr val="tx1">
                  <a:lumMod val="85000"/>
                  <a:lumOff val="15000"/>
                </a:schemeClr>
              </a:solidFill>
            </a:rPr>
            <a:t> DASHBOARD</a:t>
          </a:r>
          <a:endParaRPr lang="en-US" sz="2400" b="1">
            <a:solidFill>
              <a:schemeClr val="tx1">
                <a:lumMod val="85000"/>
                <a:lumOff val="1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xdr:colOff>
      <xdr:row>11</xdr:row>
      <xdr:rowOff>91440</xdr:rowOff>
    </xdr:from>
    <xdr:to>
      <xdr:col>12</xdr:col>
      <xdr:colOff>396240</xdr:colOff>
      <xdr:row>26</xdr:row>
      <xdr:rowOff>91440</xdr:rowOff>
    </xdr:to>
    <xdr:graphicFrame macro="">
      <xdr:nvGraphicFramePr>
        <xdr:cNvPr id="3" name="Chart 2">
          <a:extLst>
            <a:ext uri="{FF2B5EF4-FFF2-40B4-BE49-F238E27FC236}">
              <a16:creationId xmlns:a16="http://schemas.microsoft.com/office/drawing/2014/main" id="{E19A8234-9370-45BB-82DE-E99E7A8B7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83820</xdr:colOff>
      <xdr:row>11</xdr:row>
      <xdr:rowOff>152400</xdr:rowOff>
    </xdr:from>
    <xdr:to>
      <xdr:col>15</xdr:col>
      <xdr:colOff>502920</xdr:colOff>
      <xdr:row>15</xdr:row>
      <xdr:rowOff>60959</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45B3D8DD-C4FA-49DC-90F0-5B7809986D2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781800" y="2164080"/>
              <a:ext cx="1828800" cy="640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91440</xdr:colOff>
      <xdr:row>15</xdr:row>
      <xdr:rowOff>129540</xdr:rowOff>
    </xdr:from>
    <xdr:to>
      <xdr:col>15</xdr:col>
      <xdr:colOff>510540</xdr:colOff>
      <xdr:row>19</xdr:row>
      <xdr:rowOff>22859</xdr:rowOff>
    </xdr:to>
    <mc:AlternateContent xmlns:mc="http://schemas.openxmlformats.org/markup-compatibility/2006">
      <mc:Choice xmlns:a14="http://schemas.microsoft.com/office/drawing/2010/main" Requires="a14">
        <xdr:graphicFrame macro="">
          <xdr:nvGraphicFramePr>
            <xdr:cNvPr id="5" name="Quantity">
              <a:extLst>
                <a:ext uri="{FF2B5EF4-FFF2-40B4-BE49-F238E27FC236}">
                  <a16:creationId xmlns:a16="http://schemas.microsoft.com/office/drawing/2014/main" id="{F0E9AB7D-D0D0-48DA-83FB-BC71BC8B4504}"/>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6789420" y="2872740"/>
              <a:ext cx="1828800" cy="624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1112520</xdr:colOff>
      <xdr:row>8</xdr:row>
      <xdr:rowOff>53340</xdr:rowOff>
    </xdr:from>
    <xdr:to>
      <xdr:col>10</xdr:col>
      <xdr:colOff>83820</xdr:colOff>
      <xdr:row>23</xdr:row>
      <xdr:rowOff>53340</xdr:rowOff>
    </xdr:to>
    <xdr:graphicFrame macro="">
      <xdr:nvGraphicFramePr>
        <xdr:cNvPr id="2" name="Chart 1">
          <a:extLst>
            <a:ext uri="{FF2B5EF4-FFF2-40B4-BE49-F238E27FC236}">
              <a16:creationId xmlns:a16="http://schemas.microsoft.com/office/drawing/2014/main" id="{33660424-C44E-4875-85AD-5BC897003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137160</xdr:colOff>
      <xdr:row>8</xdr:row>
      <xdr:rowOff>76200</xdr:rowOff>
    </xdr:from>
    <xdr:to>
      <xdr:col>13</xdr:col>
      <xdr:colOff>693420</xdr:colOff>
      <xdr:row>21</xdr:row>
      <xdr:rowOff>165735</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F55A4FAC-3143-4AF9-B341-4BC372EA409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737860" y="1539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601980</xdr:colOff>
      <xdr:row>1</xdr:row>
      <xdr:rowOff>175260</xdr:rowOff>
    </xdr:from>
    <xdr:to>
      <xdr:col>10</xdr:col>
      <xdr:colOff>297180</xdr:colOff>
      <xdr:row>16</xdr:row>
      <xdr:rowOff>175260</xdr:rowOff>
    </xdr:to>
    <xdr:graphicFrame macro="">
      <xdr:nvGraphicFramePr>
        <xdr:cNvPr id="3" name="Chart 2">
          <a:extLst>
            <a:ext uri="{FF2B5EF4-FFF2-40B4-BE49-F238E27FC236}">
              <a16:creationId xmlns:a16="http://schemas.microsoft.com/office/drawing/2014/main" id="{3EA49F05-0BFD-4DD8-B571-8EF9AAE88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2</xdr:row>
      <xdr:rowOff>38100</xdr:rowOff>
    </xdr:from>
    <xdr:to>
      <xdr:col>10</xdr:col>
      <xdr:colOff>320040</xdr:colOff>
      <xdr:row>17</xdr:row>
      <xdr:rowOff>38100</xdr:rowOff>
    </xdr:to>
    <xdr:graphicFrame macro="">
      <xdr:nvGraphicFramePr>
        <xdr:cNvPr id="2" name="Chart 1">
          <a:extLst>
            <a:ext uri="{FF2B5EF4-FFF2-40B4-BE49-F238E27FC236}">
              <a16:creationId xmlns:a16="http://schemas.microsoft.com/office/drawing/2014/main" id="{B3DD6CD0-7213-4AAA-B1BA-8EA4443D4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441960</xdr:colOff>
      <xdr:row>4</xdr:row>
      <xdr:rowOff>121921</xdr:rowOff>
    </xdr:from>
    <xdr:to>
      <xdr:col>13</xdr:col>
      <xdr:colOff>441960</xdr:colOff>
      <xdr:row>12</xdr:row>
      <xdr:rowOff>144781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06C43A4-5EEB-48D1-8438-89C768E672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07580" y="85344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ZEEM SAJID" refreshedDate="45924.592764120367" backgroundQuery="1" createdVersion="6" refreshedVersion="6" minRefreshableVersion="3" recordCount="0" supportSubquery="1" supportAdvancedDrill="1" xr:uid="{9B542DF8-2D2B-4C2B-8B3C-62FB8DE4F75F}">
  <cacheSource type="external" connectionId="1"/>
  <cacheFields count="2">
    <cacheField name="[SalesTable].[Region].[Region]" caption="Region" numFmtId="0" hierarchy="2" level="1">
      <sharedItems count="4">
        <s v="East"/>
        <s v="North"/>
        <s v="South"/>
        <s v="West"/>
      </sharedItems>
    </cacheField>
    <cacheField name="[Measures].[Sum of Total Sales]" caption="Sum of Total Sales" numFmtId="0" hierarchy="11" level="32767"/>
  </cacheFields>
  <cacheHierarchies count="15">
    <cacheHierarchy uniqueName="[SalesTable].[OrderID]" caption="OrderID" attribute="1" defaultMemberUniqueName="[SalesTable].[OrderID].[All]" allUniqueName="[SalesTable].[OrderID].[All]" dimensionUniqueName="[SalesTable]" displayFolder="" count="2" memberValueDatatype="20" unbalanced="0"/>
    <cacheHierarchy uniqueName="[SalesTable].[Date]" caption="Date" attribute="1" time="1" defaultMemberUniqueName="[SalesTable].[Date].[All]" allUniqueName="[SalesTable].[Date].[All]" dimensionUniqueName="[SalesTable]" displayFolder="" count="2" memberValueDatatype="7" unbalanced="0"/>
    <cacheHierarchy uniqueName="[SalesTable].[Region]" caption="Region" attribute="1" defaultMemberUniqueName="[SalesTable].[Region].[All]" allUniqueName="[SalesTable].[Region].[All]" dimensionUniqueName="[SalesTable]" displayFolder="" count="2" memberValueDatatype="130" unbalanced="0">
      <fieldsUsage count="2">
        <fieldUsage x="-1"/>
        <fieldUsage x="0"/>
      </fieldsUsage>
    </cacheHierarchy>
    <cacheHierarchy uniqueName="[SalesTable].[Product]" caption="Product" attribute="1" defaultMemberUniqueName="[SalesTable].[Product].[All]" allUniqueName="[SalesTable].[Product].[All]" dimensionUniqueName="[SalesTable]" displayFolder="" count="2" memberValueDatatype="130" unbalanced="0"/>
    <cacheHierarchy uniqueName="[SalesTable].[Quantity]" caption="Quantity" attribute="1" defaultMemberUniqueName="[SalesTable].[Quantity].[All]" allUniqueName="[SalesTable].[Quantity].[All]" dimensionUniqueName="[SalesTable]" displayFolder="" count="2" memberValueDatatype="20" unbalanced="0"/>
    <cacheHierarchy uniqueName="[SalesTable].[Unit Price]" caption="Unit Price" attribute="1" defaultMemberUniqueName="[SalesTable].[Unit Price].[All]" allUniqueName="[SalesTable].[Unit Price].[All]" dimensionUniqueName="[SalesTable]" displayFolder="" count="2" memberValueDatatype="20" unbalanced="0"/>
    <cacheHierarchy uniqueName="[SalesTable].[Total Sales]" caption="Total Sales" attribute="1" defaultMemberUniqueName="[SalesTable].[Total Sales].[All]" allUniqueName="[SalesTable].[Total Sales].[All]" dimensionUniqueName="[SalesTable]" displayFolder="" count="2" memberValueDatatype="20" unbalanced="0"/>
    <cacheHierarchy uniqueName="[SalesTable].[Date (Month)]" caption="Date (Month)" attribute="1" defaultMemberUniqueName="[SalesTable].[Date (Month)].[All]" allUniqueName="[SalesTable].[Date (Month)].[All]" dimensionUniqueName="[SalesTable]" displayFolder="" count="2" memberValueDatatype="130" unbalanced="0"/>
    <cacheHierarchy uniqueName="[SalesTable].[Date (Month Index)]" caption="Date (Month Index)" attribute="1" defaultMemberUniqueName="[SalesTable].[Date (Month Index)].[All]" allUniqueName="[SalesTable].[Date (Month Index)].[All]" dimensionUniqueName="[SalesTable]" displayFolder="" count="2" memberValueDatatype="20" unbalanced="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Total Sales]" caption="Sum of Total Sales" measure="1" displayFolder="" measureGroup="SalesTable"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Total Sales]" caption="Average of Total Sales" measure="1" displayFolder="" measureGroup="SalesTabl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Table" count="0" hidden="1">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ales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ZEEM SAJID" refreshedDate="45924.592764583336" backgroundQuery="1" createdVersion="6" refreshedVersion="6" minRefreshableVersion="3" recordCount="0" supportSubquery="1" supportAdvancedDrill="1" xr:uid="{18BA0C3D-F730-4483-B9B0-478023DE783A}">
  <cacheSource type="external" connectionId="1"/>
  <cacheFields count="3">
    <cacheField name="[SalesTable].[Product].[Product]" caption="Product" numFmtId="0" hierarchy="3" level="1">
      <sharedItems count="4">
        <s v="Accessory"/>
        <s v="Laptop"/>
        <s v="Phone"/>
        <s v="Tablet"/>
      </sharedItems>
    </cacheField>
    <cacheField name="[Measures].[Average of Total Sales]" caption="Average of Total Sales" numFmtId="0" hierarchy="12" level="32767"/>
    <cacheField name="[SalesTable].[Region].[Region]" caption="Region" numFmtId="0" hierarchy="2" level="1">
      <sharedItems containsSemiMixedTypes="0" containsNonDate="0" containsString="0"/>
    </cacheField>
  </cacheFields>
  <cacheHierarchies count="15">
    <cacheHierarchy uniqueName="[SalesTable].[OrderID]" caption="OrderID" attribute="1" defaultMemberUniqueName="[SalesTable].[OrderID].[All]" allUniqueName="[SalesTable].[OrderID].[All]" dimensionUniqueName="[SalesTable]" displayFolder="" count="0" memberValueDatatype="20" unbalanced="0"/>
    <cacheHierarchy uniqueName="[SalesTable].[Date]" caption="Date" attribute="1" time="1" defaultMemberUniqueName="[SalesTable].[Date].[All]" allUniqueName="[SalesTable].[Date].[All]" dimensionUniqueName="[SalesTable]" displayFolder="" count="2" memberValueDatatype="7" unbalanced="0"/>
    <cacheHierarchy uniqueName="[SalesTable].[Region]" caption="Region" attribute="1" defaultMemberUniqueName="[SalesTable].[Region].[All]" allUniqueName="[SalesTable].[Region].[All]" dimensionUniqueName="[SalesTable]" displayFolder="" count="2" memberValueDatatype="130" unbalanced="0">
      <fieldsUsage count="2">
        <fieldUsage x="-1"/>
        <fieldUsage x="2"/>
      </fieldsUsage>
    </cacheHierarchy>
    <cacheHierarchy uniqueName="[SalesTable].[Product]" caption="Product" attribute="1" defaultMemberUniqueName="[SalesTable].[Product].[All]" allUniqueName="[SalesTable].[Product].[All]" dimensionUniqueName="[SalesTable]" displayFolder="" count="2" memberValueDatatype="130" unbalanced="0">
      <fieldsUsage count="2">
        <fieldUsage x="-1"/>
        <fieldUsage x="0"/>
      </fieldsUsage>
    </cacheHierarchy>
    <cacheHierarchy uniqueName="[SalesTable].[Quantity]" caption="Quantity" attribute="1" defaultMemberUniqueName="[SalesTable].[Quantity].[All]" allUniqueName="[SalesTable].[Quantity].[All]" dimensionUniqueName="[SalesTable]" displayFolder="" count="2" memberValueDatatype="20" unbalanced="0"/>
    <cacheHierarchy uniqueName="[SalesTable].[Unit Price]" caption="Unit Price" attribute="1" defaultMemberUniqueName="[SalesTable].[Unit Price].[All]" allUniqueName="[SalesTable].[Unit Price].[All]" dimensionUniqueName="[SalesTable]" displayFolder="" count="0" memberValueDatatype="20" unbalanced="0"/>
    <cacheHierarchy uniqueName="[SalesTable].[Total Sales]" caption="Total Sales" attribute="1" defaultMemberUniqueName="[SalesTable].[Total Sales].[All]" allUniqueName="[SalesTable].[Total Sales].[All]" dimensionUniqueName="[SalesTable]" displayFolder="" count="0" memberValueDatatype="20" unbalanced="0"/>
    <cacheHierarchy uniqueName="[SalesTable].[Date (Month)]" caption="Date (Month)" attribute="1" defaultMemberUniqueName="[SalesTable].[Date (Month)].[All]" allUniqueName="[SalesTable].[Date (Month)].[All]" dimensionUniqueName="[SalesTable]" displayFolder="" count="0" memberValueDatatype="130" unbalanced="0"/>
    <cacheHierarchy uniqueName="[SalesTable].[Date (Month Index)]" caption="Date (Month Index)" attribute="1" defaultMemberUniqueName="[SalesTable].[Date (Month Index)].[All]" allUniqueName="[SalesTable].[Date (Month Index)].[All]" dimensionUniqueName="[SalesTable]" displayFolder="" count="0" memberValueDatatype="20" unbalanced="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Total Sales]" caption="Sum of Total Sales" measure="1" displayFolder="" measureGroup="SalesTable" count="0" hidden="1">
      <extLst>
        <ext xmlns:x15="http://schemas.microsoft.com/office/spreadsheetml/2010/11/main" uri="{B97F6D7D-B522-45F9-BDA1-12C45D357490}">
          <x15:cacheHierarchy aggregatedColumn="6"/>
        </ext>
      </extLst>
    </cacheHierarchy>
    <cacheHierarchy uniqueName="[Measures].[Average of Total Sales]" caption="Average of Total Sales" measure="1" displayFolder="" measureGroup="SalesTabl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Table" count="0" hidden="1">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ales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ZEEM SAJID" refreshedDate="45924.592765046298" backgroundQuery="1" createdVersion="6" refreshedVersion="6" minRefreshableVersion="3" recordCount="0" supportSubquery="1" supportAdvancedDrill="1" xr:uid="{1FCF2F0B-9FF9-4DCC-B013-4CB3DBC85D7F}">
  <cacheSource type="external" connectionId="1"/>
  <cacheFields count="4">
    <cacheField name="[Measures].[Sum of Total Sales]" caption="Sum of Total Sales" numFmtId="0" hierarchy="11" level="32767"/>
    <cacheField name="[SalesTable].[Date].[Date]" caption="Date" numFmtId="0" hierarchy="1" level="1">
      <sharedItems containsSemiMixedTypes="0" containsNonDate="0" containsDate="1" containsString="0" minDate="2025-01-05T00:00:00" maxDate="2025-02-24T00:00:00" count="5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sharedItems>
    </cacheField>
    <cacheField name="[SalesTable].[Date (Month)].[Date (Month)]" caption="Date (Month)" numFmtId="0" hierarchy="7" level="1">
      <sharedItems count="12">
        <s v="Jan"/>
        <s v="Feb"/>
        <s v="Mar"/>
        <s v="Apr"/>
        <s v="May"/>
        <s v="Jun"/>
        <s v="Jul"/>
        <s v="Aug"/>
        <s v="Sep"/>
        <s v="Oct"/>
        <s v="Nov"/>
        <s v="Dec"/>
      </sharedItems>
    </cacheField>
    <cacheField name="[SalesTable].[Region].[Region]" caption="Region" numFmtId="0" hierarchy="2" level="1">
      <sharedItems containsSemiMixedTypes="0" containsNonDate="0" containsString="0"/>
    </cacheField>
  </cacheFields>
  <cacheHierarchies count="15">
    <cacheHierarchy uniqueName="[SalesTable].[OrderID]" caption="OrderID" attribute="1" defaultMemberUniqueName="[SalesTable].[OrderID].[All]" allUniqueName="[SalesTable].[OrderID].[All]" dimensionUniqueName="[SalesTable]" displayFolder="" count="2" memberValueDatatype="20" unbalanced="0"/>
    <cacheHierarchy uniqueName="[SalesTable].[Date]" caption="Date" attribute="1" time="1" defaultMemberUniqueName="[SalesTable].[Date].[All]" allUniqueName="[SalesTable].[Date].[All]" dimensionUniqueName="[SalesTable]" displayFolder="" count="2" memberValueDatatype="7" unbalanced="0">
      <fieldsUsage count="2">
        <fieldUsage x="-1"/>
        <fieldUsage x="1"/>
      </fieldsUsage>
    </cacheHierarchy>
    <cacheHierarchy uniqueName="[SalesTable].[Region]" caption="Region" attribute="1" defaultMemberUniqueName="[SalesTable].[Region].[All]" allUniqueName="[SalesTable].[Region].[All]" dimensionUniqueName="[SalesTable]" displayFolder="" count="2" memberValueDatatype="130" unbalanced="0">
      <fieldsUsage count="2">
        <fieldUsage x="-1"/>
        <fieldUsage x="3"/>
      </fieldsUsage>
    </cacheHierarchy>
    <cacheHierarchy uniqueName="[SalesTable].[Product]" caption="Product" attribute="1" defaultMemberUniqueName="[SalesTable].[Product].[All]" allUniqueName="[SalesTable].[Product].[All]" dimensionUniqueName="[SalesTable]" displayFolder="" count="2" memberValueDatatype="130" unbalanced="0"/>
    <cacheHierarchy uniqueName="[SalesTable].[Quantity]" caption="Quantity" attribute="1" defaultMemberUniqueName="[SalesTable].[Quantity].[All]" allUniqueName="[SalesTable].[Quantity].[All]" dimensionUniqueName="[SalesTable]" displayFolder="" count="2" memberValueDatatype="20" unbalanced="0"/>
    <cacheHierarchy uniqueName="[SalesTable].[Unit Price]" caption="Unit Price" attribute="1" defaultMemberUniqueName="[SalesTable].[Unit Price].[All]" allUniqueName="[SalesTable].[Unit Price].[All]" dimensionUniqueName="[SalesTable]" displayFolder="" count="2" memberValueDatatype="20" unbalanced="0"/>
    <cacheHierarchy uniqueName="[SalesTable].[Total Sales]" caption="Total Sales" attribute="1" defaultMemberUniqueName="[SalesTable].[Total Sales].[All]" allUniqueName="[SalesTable].[Total Sales].[All]" dimensionUniqueName="[SalesTable]" displayFolder="" count="2" memberValueDatatype="20" unbalanced="0"/>
    <cacheHierarchy uniqueName="[SalesTable].[Date (Month)]" caption="Date (Month)" attribute="1" defaultMemberUniqueName="[SalesTable].[Date (Month)].[All]" allUniqueName="[SalesTable].[Date (Month)].[All]" dimensionUniqueName="[SalesTable]" displayFolder="" count="2" memberValueDatatype="130" unbalanced="0">
      <fieldsUsage count="2">
        <fieldUsage x="-1"/>
        <fieldUsage x="2"/>
      </fieldsUsage>
    </cacheHierarchy>
    <cacheHierarchy uniqueName="[SalesTable].[Date (Month Index)]" caption="Date (Month Index)" attribute="1" defaultMemberUniqueName="[SalesTable].[Date (Month Index)].[All]" allUniqueName="[SalesTable].[Date (Month Index)].[All]" dimensionUniqueName="[SalesTable]" displayFolder="" count="2" memberValueDatatype="20" unbalanced="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Total Sales]" caption="Sum of Total Sales" measure="1" displayFolder="" measureGroup="SalesTable"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Total Sales]" caption="Average of Total Sales" measure="1" displayFolder="" measureGroup="SalesTabl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Table" count="0" hidden="1">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ales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ZEEM SAJID" refreshedDate="45924.592765624999" backgroundQuery="1" createdVersion="6" refreshedVersion="6" minRefreshableVersion="3" recordCount="0" supportSubquery="1" supportAdvancedDrill="1" xr:uid="{206E8807-1757-4B15-8F03-2AE338F571D9}">
  <cacheSource type="external" connectionId="1"/>
  <cacheFields count="5">
    <cacheField name="[SalesTable].[Product].[Product]" caption="Product" numFmtId="0" hierarchy="3" level="1">
      <sharedItems count="4">
        <s v="Accessory"/>
        <s v="Laptop"/>
        <s v="Phone"/>
        <s v="Tablet"/>
      </sharedItems>
    </cacheField>
    <cacheField name="[Measures].[Sum of Quantity]" caption="Sum of Quantity" numFmtId="0" hierarchy="13" level="32767"/>
    <cacheField name="[SalesTable].[Date].[Date]" caption="Date" numFmtId="0" hierarchy="1" level="1">
      <sharedItems containsSemiMixedTypes="0" containsNonDate="0" containsDate="1" containsString="0" minDate="2025-01-05T00:00:00" maxDate="2025-12-19T00:00:00" count="50">
        <d v="2025-01-05T00:00:00"/>
        <d v="2025-01-06T00:00:00"/>
        <d v="2025-01-07T00:00:00"/>
        <d v="2025-01-08T00:00:00"/>
        <d v="2025-02-19T00:00:00"/>
        <d v="2025-02-20T00:00:00"/>
        <d v="2025-02-21T00:00:00"/>
        <d v="2025-02-22T00:00:00"/>
        <d v="2025-02-23T00:00:00"/>
        <d v="2025-03-09T00:00:00"/>
        <d v="2025-03-10T00:00:00"/>
        <d v="2025-03-11T00:00:00"/>
        <d v="2025-03-12T00:00:00"/>
        <d v="2025-03-13T00:00:00"/>
        <d v="2025-04-14T00:00:00"/>
        <d v="2025-04-15T00:00:00"/>
        <d v="2025-04-16T00:00:00"/>
        <d v="2025-04-17T00:00:00"/>
        <d v="2025-05-18T00:00:00"/>
        <d v="2025-05-19T00:00:00"/>
        <d v="2025-05-20T00:00:00"/>
        <d v="2025-05-21T00:00:00"/>
        <d v="2025-06-22T00:00:00"/>
        <d v="2025-06-23T00:00:00"/>
        <d v="2025-06-24T00:00:00"/>
        <d v="2025-06-25T00:00:00"/>
        <d v="2025-07-26T00:00:00"/>
        <d v="2025-07-27T00:00:00"/>
        <d v="2025-07-28T00:00:00"/>
        <d v="2025-07-29T00:00:00"/>
        <d v="2025-08-01T00:00:00"/>
        <d v="2025-08-02T00:00:00"/>
        <d v="2025-08-30T00:00:00"/>
        <d v="2025-08-31T00:00:00"/>
        <d v="2025-09-03T00:00:00"/>
        <d v="2025-09-04T00:00:00"/>
        <d v="2025-09-05T00:00:00"/>
        <d v="2025-09-06T00:00:00"/>
        <d v="2025-10-07T00:00:00"/>
        <d v="2025-10-08T00:00:00"/>
        <d v="2025-10-09T00:00:00"/>
        <d v="2025-10-10T00:00:00"/>
        <d v="2025-11-11T00:00:00"/>
        <d v="2025-11-12T00:00:00"/>
        <d v="2025-11-13T00:00:00"/>
        <d v="2025-11-14T00:00:00"/>
        <d v="2025-12-15T00:00:00"/>
        <d v="2025-12-16T00:00:00"/>
        <d v="2025-12-17T00:00:00"/>
        <d v="2025-12-18T00:00:00"/>
      </sharedItems>
    </cacheField>
    <cacheField name="[SalesTable].[Date (Month)].[Date (Month)]" caption="Date (Month)" numFmtId="0" hierarchy="7" level="1">
      <sharedItems count="12">
        <s v="Jan"/>
        <s v="Feb"/>
        <s v="Mar"/>
        <s v="Apr"/>
        <s v="May"/>
        <s v="Jun"/>
        <s v="Jul"/>
        <s v="Aug"/>
        <s v="Sep"/>
        <s v="Oct"/>
        <s v="Nov"/>
        <s v="Dec"/>
      </sharedItems>
    </cacheField>
    <cacheField name="[SalesTable].[Region].[Region]" caption="Region" numFmtId="0" hierarchy="2" level="1">
      <sharedItems containsSemiMixedTypes="0" containsNonDate="0" containsString="0"/>
    </cacheField>
  </cacheFields>
  <cacheHierarchies count="15">
    <cacheHierarchy uniqueName="[SalesTable].[OrderID]" caption="OrderID" attribute="1" defaultMemberUniqueName="[SalesTable].[OrderID].[All]" allUniqueName="[SalesTable].[OrderID].[All]" dimensionUniqueName="[SalesTable]" displayFolder="" count="2" memberValueDatatype="20" unbalanced="0"/>
    <cacheHierarchy uniqueName="[SalesTable].[Date]" caption="Date" attribute="1" time="1" defaultMemberUniqueName="[SalesTable].[Date].[All]" allUniqueName="[SalesTable].[Date].[All]" dimensionUniqueName="[SalesTable]" displayFolder="" count="2" memberValueDatatype="7" unbalanced="0">
      <fieldsUsage count="2">
        <fieldUsage x="-1"/>
        <fieldUsage x="2"/>
      </fieldsUsage>
    </cacheHierarchy>
    <cacheHierarchy uniqueName="[SalesTable].[Region]" caption="Region" attribute="1" defaultMemberUniqueName="[SalesTable].[Region].[All]" allUniqueName="[SalesTable].[Region].[All]" dimensionUniqueName="[SalesTable]" displayFolder="" count="2" memberValueDatatype="130" unbalanced="0">
      <fieldsUsage count="2">
        <fieldUsage x="-1"/>
        <fieldUsage x="4"/>
      </fieldsUsage>
    </cacheHierarchy>
    <cacheHierarchy uniqueName="[SalesTable].[Product]" caption="Product" attribute="1" defaultMemberUniqueName="[SalesTable].[Product].[All]" allUniqueName="[SalesTable].[Product].[All]" dimensionUniqueName="[SalesTable]" displayFolder="" count="2" memberValueDatatype="130" unbalanced="0">
      <fieldsUsage count="2">
        <fieldUsage x="-1"/>
        <fieldUsage x="0"/>
      </fieldsUsage>
    </cacheHierarchy>
    <cacheHierarchy uniqueName="[SalesTable].[Quantity]" caption="Quantity" attribute="1" defaultMemberUniqueName="[SalesTable].[Quantity].[All]" allUniqueName="[SalesTable].[Quantity].[All]" dimensionUniqueName="[SalesTable]" displayFolder="" count="2" memberValueDatatype="20" unbalanced="0"/>
    <cacheHierarchy uniqueName="[SalesTable].[Unit Price]" caption="Unit Price" attribute="1" defaultMemberUniqueName="[SalesTable].[Unit Price].[All]" allUniqueName="[SalesTable].[Unit Price].[All]" dimensionUniqueName="[SalesTable]" displayFolder="" count="2" memberValueDatatype="20" unbalanced="0"/>
    <cacheHierarchy uniqueName="[SalesTable].[Total Sales]" caption="Total Sales" attribute="1" defaultMemberUniqueName="[SalesTable].[Total Sales].[All]" allUniqueName="[SalesTable].[Total Sales].[All]" dimensionUniqueName="[SalesTable]" displayFolder="" count="2" memberValueDatatype="20" unbalanced="0"/>
    <cacheHierarchy uniqueName="[SalesTable].[Date (Month)]" caption="Date (Month)" attribute="1" defaultMemberUniqueName="[SalesTable].[Date (Month)].[All]" allUniqueName="[SalesTable].[Date (Month)].[All]" dimensionUniqueName="[SalesTable]" displayFolder="" count="2" memberValueDatatype="130" unbalanced="0">
      <fieldsUsage count="2">
        <fieldUsage x="-1"/>
        <fieldUsage x="3"/>
      </fieldsUsage>
    </cacheHierarchy>
    <cacheHierarchy uniqueName="[SalesTable].[Date (Month Index)]" caption="Date (Month Index)" attribute="1" defaultMemberUniqueName="[SalesTable].[Date (Month Index)].[All]" allUniqueName="[SalesTable].[Date (Month Index)].[All]" dimensionUniqueName="[SalesTable]" displayFolder="" count="2" memberValueDatatype="20" unbalanced="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Total Sales]" caption="Sum of Total Sales" measure="1" displayFolder="" measureGroup="SalesTable" count="0" hidden="1">
      <extLst>
        <ext xmlns:x15="http://schemas.microsoft.com/office/spreadsheetml/2010/11/main" uri="{B97F6D7D-B522-45F9-BDA1-12C45D357490}">
          <x15:cacheHierarchy aggregatedColumn="6"/>
        </ext>
      </extLst>
    </cacheHierarchy>
    <cacheHierarchy uniqueName="[Measures].[Average of Total Sales]" caption="Average of Total Sales" measure="1" displayFolder="" measureGroup="SalesTabl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ales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ZEEM SAJID" refreshedDate="45924.579305092593" backgroundQuery="1" createdVersion="3" refreshedVersion="6" minRefreshableVersion="3" recordCount="0" supportSubquery="1" supportAdvancedDrill="1" xr:uid="{D57BC59E-E393-4BF6-BDA6-4006A489C66C}">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SalesTable].[OrderID]" caption="OrderID" attribute="1" defaultMemberUniqueName="[SalesTable].[OrderID].[All]" allUniqueName="[SalesTable].[OrderID].[All]" dimensionUniqueName="[SalesTable]" displayFolder="" count="0" memberValueDatatype="20" unbalanced="0"/>
    <cacheHierarchy uniqueName="[SalesTable].[Date]" caption="Date" attribute="1" time="1" defaultMemberUniqueName="[SalesTable].[Date].[All]" allUniqueName="[SalesTable].[Date].[All]" dimensionUniqueName="[SalesTable]" displayFolder="" count="2" memberValueDatatype="7" unbalanced="0"/>
    <cacheHierarchy uniqueName="[SalesTable].[Region]" caption="Region" attribute="1" defaultMemberUniqueName="[SalesTable].[Region].[All]" allUniqueName="[SalesTable].[Region].[All]" dimensionUniqueName="[SalesTable]" displayFolder="" count="2" memberValueDatatype="130" unbalanced="0"/>
    <cacheHierarchy uniqueName="[SalesTable].[Product]" caption="Product" attribute="1" defaultMemberUniqueName="[SalesTable].[Product].[All]" allUniqueName="[SalesTable].[Product].[All]" dimensionUniqueName="[SalesTable]" displayFolder="" count="2" memberValueDatatype="130" unbalanced="0"/>
    <cacheHierarchy uniqueName="[SalesTable].[Quantity]" caption="Quantity" attribute="1" defaultMemberUniqueName="[SalesTable].[Quantity].[All]" allUniqueName="[SalesTable].[Quantity].[All]" dimensionUniqueName="[SalesTable]" displayFolder="" count="2" memberValueDatatype="20" unbalanced="0"/>
    <cacheHierarchy uniqueName="[SalesTable].[Unit Price]" caption="Unit Price" attribute="1" defaultMemberUniqueName="[SalesTable].[Unit Price].[All]" allUniqueName="[SalesTable].[Unit Price].[All]" dimensionUniqueName="[SalesTable]" displayFolder="" count="0" memberValueDatatype="20" unbalanced="0"/>
    <cacheHierarchy uniqueName="[SalesTable].[Total Sales]" caption="Total Sales" attribute="1" defaultMemberUniqueName="[SalesTable].[Total Sales].[All]" allUniqueName="[SalesTable].[Total Sales].[All]" dimensionUniqueName="[SalesTable]" displayFolder="" count="0" memberValueDatatype="20" unbalanced="0"/>
    <cacheHierarchy uniqueName="[SalesTable].[Date (Month)]" caption="Date (Month)" attribute="1" defaultMemberUniqueName="[SalesTable].[Date (Month)].[All]" allUniqueName="[SalesTable].[Date (Month)].[All]" dimensionUniqueName="[SalesTable]" displayFolder="" count="0" memberValueDatatype="130" unbalanced="0"/>
    <cacheHierarchy uniqueName="[SalesTable].[Date (Month Index)]" caption="Date (Month Index)" attribute="1" defaultMemberUniqueName="[SalesTable].[Date (Month Index)].[All]" allUniqueName="[SalesTable].[Date (Month Index)].[All]" dimensionUniqueName="[SalesTable]" displayFolder="" count="0" memberValueDatatype="20" unbalanced="0" hidden="1"/>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Total Sales]" caption="Sum of Total Sales" measure="1" displayFolder="" measureGroup="SalesTable" count="0" hidden="1">
      <extLst>
        <ext xmlns:x15="http://schemas.microsoft.com/office/spreadsheetml/2010/11/main" uri="{B97F6D7D-B522-45F9-BDA1-12C45D357490}">
          <x15:cacheHierarchy aggregatedColumn="6"/>
        </ext>
      </extLst>
    </cacheHierarchy>
    <cacheHierarchy uniqueName="[Measures].[Average of Total Sales]" caption="Average of Total Sales" measure="1" displayFolder="" measureGroup="SalesTable"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Table" count="0" hidden="1">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SalesTabl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7439357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83E767-B6F5-4C7D-A06D-B55D3A339994}"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3">
  <location ref="A3:N10" firstHeaderRow="1" firstDataRow="3"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1">
    <field x="0"/>
  </rowFields>
  <rowItems count="5">
    <i>
      <x/>
    </i>
    <i>
      <x v="1"/>
    </i>
    <i>
      <x v="2"/>
    </i>
    <i>
      <x v="3"/>
    </i>
    <i t="grand">
      <x/>
    </i>
  </rowItems>
  <colFields count="2">
    <field x="3"/>
    <field x="2"/>
  </colFields>
  <colItems count="13">
    <i>
      <x/>
    </i>
    <i>
      <x v="1"/>
    </i>
    <i>
      <x v="2"/>
    </i>
    <i>
      <x v="3"/>
    </i>
    <i>
      <x v="4"/>
    </i>
    <i>
      <x v="5"/>
    </i>
    <i>
      <x v="6"/>
    </i>
    <i>
      <x v="7"/>
    </i>
    <i>
      <x v="8"/>
    </i>
    <i>
      <x v="9"/>
    </i>
    <i>
      <x v="10"/>
    </i>
    <i>
      <x v="11"/>
    </i>
    <i t="grand">
      <x/>
    </i>
  </colItems>
  <dataFields count="1">
    <dataField name="Sum of Quantity" fld="1" baseField="0" baseItem="0"/>
  </dataFields>
  <chartFormats count="24">
    <chartFormat chart="38" format="0" series="1">
      <pivotArea type="data" outline="0" fieldPosition="0">
        <references count="2">
          <reference field="4294967294" count="1" selected="0">
            <x v="0"/>
          </reference>
          <reference field="3" count="1" selected="0">
            <x v="0"/>
          </reference>
        </references>
      </pivotArea>
    </chartFormat>
    <chartFormat chart="38" format="1" series="1">
      <pivotArea type="data" outline="0" fieldPosition="0">
        <references count="2">
          <reference field="4294967294" count="1" selected="0">
            <x v="0"/>
          </reference>
          <reference field="3" count="1" selected="0">
            <x v="1"/>
          </reference>
        </references>
      </pivotArea>
    </chartFormat>
    <chartFormat chart="38" format="2" series="1">
      <pivotArea type="data" outline="0" fieldPosition="0">
        <references count="2">
          <reference field="4294967294" count="1" selected="0">
            <x v="0"/>
          </reference>
          <reference field="3" count="1" selected="0">
            <x v="2"/>
          </reference>
        </references>
      </pivotArea>
    </chartFormat>
    <chartFormat chart="38" format="3" series="1">
      <pivotArea type="data" outline="0" fieldPosition="0">
        <references count="2">
          <reference field="4294967294" count="1" selected="0">
            <x v="0"/>
          </reference>
          <reference field="3" count="1" selected="0">
            <x v="3"/>
          </reference>
        </references>
      </pivotArea>
    </chartFormat>
    <chartFormat chart="38" format="4" series="1">
      <pivotArea type="data" outline="0" fieldPosition="0">
        <references count="2">
          <reference field="4294967294" count="1" selected="0">
            <x v="0"/>
          </reference>
          <reference field="3" count="1" selected="0">
            <x v="4"/>
          </reference>
        </references>
      </pivotArea>
    </chartFormat>
    <chartFormat chart="38" format="5" series="1">
      <pivotArea type="data" outline="0" fieldPosition="0">
        <references count="2">
          <reference field="4294967294" count="1" selected="0">
            <x v="0"/>
          </reference>
          <reference field="3" count="1" selected="0">
            <x v="5"/>
          </reference>
        </references>
      </pivotArea>
    </chartFormat>
    <chartFormat chart="38" format="6" series="1">
      <pivotArea type="data" outline="0" fieldPosition="0">
        <references count="2">
          <reference field="4294967294" count="1" selected="0">
            <x v="0"/>
          </reference>
          <reference field="3" count="1" selected="0">
            <x v="6"/>
          </reference>
        </references>
      </pivotArea>
    </chartFormat>
    <chartFormat chart="38" format="7" series="1">
      <pivotArea type="data" outline="0" fieldPosition="0">
        <references count="2">
          <reference field="4294967294" count="1" selected="0">
            <x v="0"/>
          </reference>
          <reference field="3" count="1" selected="0">
            <x v="7"/>
          </reference>
        </references>
      </pivotArea>
    </chartFormat>
    <chartFormat chart="38" format="8" series="1">
      <pivotArea type="data" outline="0" fieldPosition="0">
        <references count="2">
          <reference field="4294967294" count="1" selected="0">
            <x v="0"/>
          </reference>
          <reference field="3" count="1" selected="0">
            <x v="8"/>
          </reference>
        </references>
      </pivotArea>
    </chartFormat>
    <chartFormat chart="38" format="9" series="1">
      <pivotArea type="data" outline="0" fieldPosition="0">
        <references count="2">
          <reference field="4294967294" count="1" selected="0">
            <x v="0"/>
          </reference>
          <reference field="3" count="1" selected="0">
            <x v="9"/>
          </reference>
        </references>
      </pivotArea>
    </chartFormat>
    <chartFormat chart="38" format="10" series="1">
      <pivotArea type="data" outline="0" fieldPosition="0">
        <references count="2">
          <reference field="4294967294" count="1" selected="0">
            <x v="0"/>
          </reference>
          <reference field="3" count="1" selected="0">
            <x v="10"/>
          </reference>
        </references>
      </pivotArea>
    </chartFormat>
    <chartFormat chart="38" format="11" series="1">
      <pivotArea type="data" outline="0" fieldPosition="0">
        <references count="2">
          <reference field="4294967294" count="1" selected="0">
            <x v="0"/>
          </reference>
          <reference field="3" count="1" selected="0">
            <x v="11"/>
          </reference>
        </references>
      </pivotArea>
    </chartFormat>
    <chartFormat chart="42" format="24" series="1">
      <pivotArea type="data" outline="0" fieldPosition="0">
        <references count="2">
          <reference field="4294967294" count="1" selected="0">
            <x v="0"/>
          </reference>
          <reference field="3" count="1" selected="0">
            <x v="0"/>
          </reference>
        </references>
      </pivotArea>
    </chartFormat>
    <chartFormat chart="42" format="25" series="1">
      <pivotArea type="data" outline="0" fieldPosition="0">
        <references count="2">
          <reference field="4294967294" count="1" selected="0">
            <x v="0"/>
          </reference>
          <reference field="3" count="1" selected="0">
            <x v="1"/>
          </reference>
        </references>
      </pivotArea>
    </chartFormat>
    <chartFormat chart="42" format="26" series="1">
      <pivotArea type="data" outline="0" fieldPosition="0">
        <references count="2">
          <reference field="4294967294" count="1" selected="0">
            <x v="0"/>
          </reference>
          <reference field="3" count="1" selected="0">
            <x v="2"/>
          </reference>
        </references>
      </pivotArea>
    </chartFormat>
    <chartFormat chart="42" format="27" series="1">
      <pivotArea type="data" outline="0" fieldPosition="0">
        <references count="2">
          <reference field="4294967294" count="1" selected="0">
            <x v="0"/>
          </reference>
          <reference field="3" count="1" selected="0">
            <x v="3"/>
          </reference>
        </references>
      </pivotArea>
    </chartFormat>
    <chartFormat chart="42" format="28" series="1">
      <pivotArea type="data" outline="0" fieldPosition="0">
        <references count="2">
          <reference field="4294967294" count="1" selected="0">
            <x v="0"/>
          </reference>
          <reference field="3" count="1" selected="0">
            <x v="4"/>
          </reference>
        </references>
      </pivotArea>
    </chartFormat>
    <chartFormat chart="42" format="29" series="1">
      <pivotArea type="data" outline="0" fieldPosition="0">
        <references count="2">
          <reference field="4294967294" count="1" selected="0">
            <x v="0"/>
          </reference>
          <reference field="3" count="1" selected="0">
            <x v="5"/>
          </reference>
        </references>
      </pivotArea>
    </chartFormat>
    <chartFormat chart="42" format="30" series="1">
      <pivotArea type="data" outline="0" fieldPosition="0">
        <references count="2">
          <reference field="4294967294" count="1" selected="0">
            <x v="0"/>
          </reference>
          <reference field="3" count="1" selected="0">
            <x v="6"/>
          </reference>
        </references>
      </pivotArea>
    </chartFormat>
    <chartFormat chart="42" format="31" series="1">
      <pivotArea type="data" outline="0" fieldPosition="0">
        <references count="2">
          <reference field="4294967294" count="1" selected="0">
            <x v="0"/>
          </reference>
          <reference field="3" count="1" selected="0">
            <x v="7"/>
          </reference>
        </references>
      </pivotArea>
    </chartFormat>
    <chartFormat chart="42" format="32" series="1">
      <pivotArea type="data" outline="0" fieldPosition="0">
        <references count="2">
          <reference field="4294967294" count="1" selected="0">
            <x v="0"/>
          </reference>
          <reference field="3" count="1" selected="0">
            <x v="8"/>
          </reference>
        </references>
      </pivotArea>
    </chartFormat>
    <chartFormat chart="42" format="33" series="1">
      <pivotArea type="data" outline="0" fieldPosition="0">
        <references count="2">
          <reference field="4294967294" count="1" selected="0">
            <x v="0"/>
          </reference>
          <reference field="3" count="1" selected="0">
            <x v="9"/>
          </reference>
        </references>
      </pivotArea>
    </chartFormat>
    <chartFormat chart="42" format="34" series="1">
      <pivotArea type="data" outline="0" fieldPosition="0">
        <references count="2">
          <reference field="4294967294" count="1" selected="0">
            <x v="0"/>
          </reference>
          <reference field="3" count="1" selected="0">
            <x v="10"/>
          </reference>
        </references>
      </pivotArea>
    </chartFormat>
    <chartFormat chart="42" format="35" series="1">
      <pivotArea type="data" outline="0" fieldPosition="0">
        <references count="2">
          <reference field="4294967294" count="1" selected="0">
            <x v="0"/>
          </reference>
          <reference field="3" count="1" selected="0">
            <x v="11"/>
          </reference>
        </references>
      </pivotArea>
    </chartFormat>
  </chartFormats>
  <pivotHierarchies count="15">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2">
    <colHierarchyUsage hierarchyUsage="7"/>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al_sales_50.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CC9352-B48F-4091-9568-860E2B098207}" name="Sales Trend by Sate"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N6" firstHeaderRow="1" firstDataRow="3" firstDataCol="1"/>
  <pivotFields count="4">
    <pivotField dataField="1" subtotalTop="0" showAll="0" defaultSubtotal="0"/>
    <pivotField axis="axisCol"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Items count="1">
    <i/>
  </rowItems>
  <colFields count="2">
    <field x="2"/>
    <field x="1"/>
  </colFields>
  <colItems count="13">
    <i>
      <x/>
    </i>
    <i>
      <x v="1"/>
    </i>
    <i>
      <x v="2"/>
    </i>
    <i>
      <x v="3"/>
    </i>
    <i>
      <x v="4"/>
    </i>
    <i>
      <x v="5"/>
    </i>
    <i>
      <x v="6"/>
    </i>
    <i>
      <x v="7"/>
    </i>
    <i>
      <x v="8"/>
    </i>
    <i>
      <x v="9"/>
    </i>
    <i>
      <x v="10"/>
    </i>
    <i>
      <x v="11"/>
    </i>
    <i t="grand">
      <x/>
    </i>
  </colItems>
  <dataFields count="1">
    <dataField name="Sum of Total Sales" fld="0" baseField="0" baseItem="0"/>
  </dataFields>
  <chartFormats count="24">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6"/>
          </reference>
        </references>
      </pivotArea>
    </chartFormat>
    <chartFormat chart="1" format="7" series="1">
      <pivotArea type="data" outline="0" fieldPosition="0">
        <references count="2">
          <reference field="4294967294" count="1" selected="0">
            <x v="0"/>
          </reference>
          <reference field="2" count="1" selected="0">
            <x v="7"/>
          </reference>
        </references>
      </pivotArea>
    </chartFormat>
    <chartFormat chart="1" format="8" series="1">
      <pivotArea type="data" outline="0" fieldPosition="0">
        <references count="2">
          <reference field="4294967294" count="1" selected="0">
            <x v="0"/>
          </reference>
          <reference field="2" count="1" selected="0">
            <x v="8"/>
          </reference>
        </references>
      </pivotArea>
    </chartFormat>
    <chartFormat chart="1" format="9" series="1">
      <pivotArea type="data" outline="0" fieldPosition="0">
        <references count="2">
          <reference field="4294967294" count="1" selected="0">
            <x v="0"/>
          </reference>
          <reference field="2" count="1" selected="0">
            <x v="9"/>
          </reference>
        </references>
      </pivotArea>
    </chartFormat>
    <chartFormat chart="1" format="10" series="1">
      <pivotArea type="data" outline="0" fieldPosition="0">
        <references count="2">
          <reference field="4294967294" count="1" selected="0">
            <x v="0"/>
          </reference>
          <reference field="2" count="1" selected="0">
            <x v="10"/>
          </reference>
        </references>
      </pivotArea>
    </chartFormat>
    <chartFormat chart="1" format="11" series="1">
      <pivotArea type="data" outline="0" fieldPosition="0">
        <references count="2">
          <reference field="4294967294" count="1" selected="0">
            <x v="0"/>
          </reference>
          <reference field="2" count="1" selected="0">
            <x v="11"/>
          </reference>
        </references>
      </pivotArea>
    </chartFormat>
    <chartFormat chart="3" format="24" series="1">
      <pivotArea type="data" outline="0" fieldPosition="0">
        <references count="2">
          <reference field="4294967294" count="1" selected="0">
            <x v="0"/>
          </reference>
          <reference field="2" count="1" selected="0">
            <x v="0"/>
          </reference>
        </references>
      </pivotArea>
    </chartFormat>
    <chartFormat chart="3" format="25" series="1">
      <pivotArea type="data" outline="0" fieldPosition="0">
        <references count="2">
          <reference field="4294967294" count="1" selected="0">
            <x v="0"/>
          </reference>
          <reference field="2" count="1" selected="0">
            <x v="1"/>
          </reference>
        </references>
      </pivotArea>
    </chartFormat>
    <chartFormat chart="3" format="26" series="1">
      <pivotArea type="data" outline="0" fieldPosition="0">
        <references count="2">
          <reference field="4294967294" count="1" selected="0">
            <x v="0"/>
          </reference>
          <reference field="2" count="1" selected="0">
            <x v="2"/>
          </reference>
        </references>
      </pivotArea>
    </chartFormat>
    <chartFormat chart="3" format="27" series="1">
      <pivotArea type="data" outline="0" fieldPosition="0">
        <references count="2">
          <reference field="4294967294" count="1" selected="0">
            <x v="0"/>
          </reference>
          <reference field="2" count="1" selected="0">
            <x v="3"/>
          </reference>
        </references>
      </pivotArea>
    </chartFormat>
    <chartFormat chart="3" format="28" series="1">
      <pivotArea type="data" outline="0" fieldPosition="0">
        <references count="2">
          <reference field="4294967294" count="1" selected="0">
            <x v="0"/>
          </reference>
          <reference field="2" count="1" selected="0">
            <x v="4"/>
          </reference>
        </references>
      </pivotArea>
    </chartFormat>
    <chartFormat chart="3" format="29" series="1">
      <pivotArea type="data" outline="0" fieldPosition="0">
        <references count="2">
          <reference field="4294967294" count="1" selected="0">
            <x v="0"/>
          </reference>
          <reference field="2" count="1" selected="0">
            <x v="5"/>
          </reference>
        </references>
      </pivotArea>
    </chartFormat>
    <chartFormat chart="3" format="30" series="1">
      <pivotArea type="data" outline="0" fieldPosition="0">
        <references count="2">
          <reference field="4294967294" count="1" selected="0">
            <x v="0"/>
          </reference>
          <reference field="2" count="1" selected="0">
            <x v="6"/>
          </reference>
        </references>
      </pivotArea>
    </chartFormat>
    <chartFormat chart="3" format="31" series="1">
      <pivotArea type="data" outline="0" fieldPosition="0">
        <references count="2">
          <reference field="4294967294" count="1" selected="0">
            <x v="0"/>
          </reference>
          <reference field="2" count="1" selected="0">
            <x v="7"/>
          </reference>
        </references>
      </pivotArea>
    </chartFormat>
    <chartFormat chart="3" format="32" series="1">
      <pivotArea type="data" outline="0" fieldPosition="0">
        <references count="2">
          <reference field="4294967294" count="1" selected="0">
            <x v="0"/>
          </reference>
          <reference field="2" count="1" selected="0">
            <x v="8"/>
          </reference>
        </references>
      </pivotArea>
    </chartFormat>
    <chartFormat chart="3" format="33" series="1">
      <pivotArea type="data" outline="0" fieldPosition="0">
        <references count="2">
          <reference field="4294967294" count="1" selected="0">
            <x v="0"/>
          </reference>
          <reference field="2" count="1" selected="0">
            <x v="9"/>
          </reference>
        </references>
      </pivotArea>
    </chartFormat>
    <chartFormat chart="3" format="34" series="1">
      <pivotArea type="data" outline="0" fieldPosition="0">
        <references count="2">
          <reference field="4294967294" count="1" selected="0">
            <x v="0"/>
          </reference>
          <reference field="2" count="1" selected="0">
            <x v="10"/>
          </reference>
        </references>
      </pivotArea>
    </chartFormat>
    <chartFormat chart="3" format="35" series="1">
      <pivotArea type="data" outline="0" fieldPosition="0">
        <references count="2">
          <reference field="4294967294" count="1" selected="0">
            <x v="0"/>
          </reference>
          <reference field="2" count="1" selected="0">
            <x v="11"/>
          </reference>
        </references>
      </pivotArea>
    </chartFormat>
  </chartFormats>
  <pivotHierarchies count="15">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2">
    <colHierarchyUsage hierarchyUsage="7"/>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al_sales_50.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AAC3D-85AD-4ACE-9919-F5D25EE5AD83}" name="Average of Total Sales by Product"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Total Sales" fld="1" subtotal="average"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 Sales"/>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al_sales_50.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891ACA-4C65-4481-9C96-0B3545F8A79E}" name="Total Sales By Region"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7">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 Sales" fld="1"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nual_sales_50.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106F59-75D6-4BD9-91DC-A56495CAFB9A}" sourceName="[SalesTable].[Region]">
  <pivotTables>
    <pivotTable tabId="2" name="Total Sales By Region"/>
    <pivotTable tabId="3" name="Average of Total Sales by Product"/>
    <pivotTable tabId="7" name="Sales Trend by Sate"/>
    <pivotTable tabId="8" name="PivotTable6"/>
  </pivotTables>
  <data>
    <olap pivotCacheId="1743935778">
      <levels count="2">
        <level uniqueName="[SalesTable].[Region].[(All)]" sourceCaption="(All)" count="0"/>
        <level uniqueName="[SalesTable].[Region].[Region]" sourceCaption="Region" count="4">
          <ranges>
            <range startItem="0">
              <i n="[SalesTable].[Region].&amp;[East]" c="East"/>
              <i n="[SalesTable].[Region].&amp;[North]" c="North"/>
              <i n="[SalesTable].[Region].&amp;[South]" c="South"/>
              <i n="[SalesTable].[Region].&amp;[West]" c="West"/>
            </range>
          </ranges>
        </level>
      </levels>
      <selections count="1">
        <selection n="[SalesTabl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D20947E-E22D-40A5-9E36-F3EAB14425B8}" sourceName="[SalesTable].[Date]">
  <pivotTables>
    <pivotTable tabId="7" name="Sales Trend by Sate"/>
    <pivotTable tabId="2" name="Total Sales By Region"/>
    <pivotTable tabId="3" name="Average of Total Sales by Product"/>
    <pivotTable tabId="8" name="PivotTable6"/>
  </pivotTables>
  <data>
    <olap pivotCacheId="1743935778">
      <levels count="2">
        <level uniqueName="[SalesTable].[Date].[(All)]" sourceCaption="(All)" count="0"/>
        <level uniqueName="[SalesTable].[Date].[Date]" sourceCaption="Date" count="50">
          <ranges>
            <range startItem="0">
              <i n="[SalesTable].[Date].&amp;[2025-01-05T00:00:00]" c="1/5/2025"/>
              <i n="[SalesTable].[Date].&amp;[2025-01-06T00:00:00]" c="1/6/2025"/>
              <i n="[SalesTable].[Date].&amp;[2025-01-07T00:00:00]" c="1/7/2025"/>
              <i n="[SalesTable].[Date].&amp;[2025-01-08T00:00:00]" c="1/8/2025"/>
              <i n="[SalesTable].[Date].&amp;[2025-02-19T00:00:00]" c="2/19/2025"/>
              <i n="[SalesTable].[Date].&amp;[2025-02-20T00:00:00]" c="2/20/2025"/>
              <i n="[SalesTable].[Date].&amp;[2025-02-21T00:00:00]" c="2/21/2025"/>
              <i n="[SalesTable].[Date].&amp;[2025-02-22T00:00:00]" c="2/22/2025"/>
              <i n="[SalesTable].[Date].&amp;[2025-02-23T00:00:00]" c="2/23/2025"/>
              <i n="[SalesTable].[Date].&amp;[2025-03-09T00:00:00]" c="3/9/2025"/>
              <i n="[SalesTable].[Date].&amp;[2025-03-10T00:00:00]" c="3/10/2025"/>
              <i n="[SalesTable].[Date].&amp;[2025-03-11T00:00:00]" c="3/11/2025"/>
              <i n="[SalesTable].[Date].&amp;[2025-03-12T00:00:00]" c="3/12/2025"/>
              <i n="[SalesTable].[Date].&amp;[2025-03-13T00:00:00]" c="3/13/2025"/>
              <i n="[SalesTable].[Date].&amp;[2025-04-14T00:00:00]" c="4/14/2025"/>
              <i n="[SalesTable].[Date].&amp;[2025-04-15T00:00:00]" c="4/15/2025"/>
              <i n="[SalesTable].[Date].&amp;[2025-04-16T00:00:00]" c="4/16/2025"/>
              <i n="[SalesTable].[Date].&amp;[2025-04-17T00:00:00]" c="4/17/2025"/>
              <i n="[SalesTable].[Date].&amp;[2025-05-18T00:00:00]" c="5/18/2025"/>
              <i n="[SalesTable].[Date].&amp;[2025-05-19T00:00:00]" c="5/19/2025"/>
              <i n="[SalesTable].[Date].&amp;[2025-05-20T00:00:00]" c="5/20/2025"/>
              <i n="[SalesTable].[Date].&amp;[2025-05-21T00:00:00]" c="5/21/2025"/>
              <i n="[SalesTable].[Date].&amp;[2025-06-22T00:00:00]" c="6/22/2025"/>
              <i n="[SalesTable].[Date].&amp;[2025-06-23T00:00:00]" c="6/23/2025"/>
              <i n="[SalesTable].[Date].&amp;[2025-06-24T00:00:00]" c="6/24/2025"/>
              <i n="[SalesTable].[Date].&amp;[2025-06-25T00:00:00]" c="6/25/2025"/>
              <i n="[SalesTable].[Date].&amp;[2025-07-26T00:00:00]" c="7/26/2025"/>
              <i n="[SalesTable].[Date].&amp;[2025-07-27T00:00:00]" c="7/27/2025"/>
              <i n="[SalesTable].[Date].&amp;[2025-07-28T00:00:00]" c="7/28/2025"/>
              <i n="[SalesTable].[Date].&amp;[2025-07-29T00:00:00]" c="7/29/2025"/>
              <i n="[SalesTable].[Date].&amp;[2025-08-01T00:00:00]" c="8/1/2025"/>
              <i n="[SalesTable].[Date].&amp;[2025-08-02T00:00:00]" c="8/2/2025"/>
              <i n="[SalesTable].[Date].&amp;[2025-08-30T00:00:00]" c="8/30/2025"/>
              <i n="[SalesTable].[Date].&amp;[2025-08-31T00:00:00]" c="8/31/2025"/>
              <i n="[SalesTable].[Date].&amp;[2025-09-03T00:00:00]" c="9/3/2025"/>
              <i n="[SalesTable].[Date].&amp;[2025-09-04T00:00:00]" c="9/4/2025"/>
              <i n="[SalesTable].[Date].&amp;[2025-09-05T00:00:00]" c="9/5/2025"/>
              <i n="[SalesTable].[Date].&amp;[2025-09-06T00:00:00]" c="9/6/2025"/>
              <i n="[SalesTable].[Date].&amp;[2025-10-07T00:00:00]" c="10/7/2025"/>
              <i n="[SalesTable].[Date].&amp;[2025-10-08T00:00:00]" c="10/8/2025"/>
              <i n="[SalesTable].[Date].&amp;[2025-10-09T00:00:00]" c="10/9/2025"/>
              <i n="[SalesTable].[Date].&amp;[2025-10-10T00:00:00]" c="10/10/2025"/>
              <i n="[SalesTable].[Date].&amp;[2025-11-11T00:00:00]" c="11/11/2025"/>
              <i n="[SalesTable].[Date].&amp;[2025-11-12T00:00:00]" c="11/12/2025"/>
              <i n="[SalesTable].[Date].&amp;[2025-11-13T00:00:00]" c="11/13/2025"/>
              <i n="[SalesTable].[Date].&amp;[2025-11-14T00:00:00]" c="11/14/2025"/>
              <i n="[SalesTable].[Date].&amp;[2025-12-15T00:00:00]" c="12/15/2025"/>
              <i n="[SalesTable].[Date].&amp;[2025-12-16T00:00:00]" c="12/16/2025"/>
              <i n="[SalesTable].[Date].&amp;[2025-12-17T00:00:00]" c="12/17/2025"/>
              <i n="[SalesTable].[Date].&amp;[2025-12-18T00:00:00]" c="12/18/2025"/>
            </range>
          </ranges>
        </level>
      </levels>
      <selections count="1">
        <selection n="[SalesTable].[D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F582062-5FAE-48F8-BD00-19F1044AF510}" sourceName="[SalesTable].[Product]">
  <pivotTables>
    <pivotTable tabId="8" name="PivotTable6"/>
    <pivotTable tabId="2" name="Total Sales By Region"/>
    <pivotTable tabId="3" name="Average of Total Sales by Product"/>
    <pivotTable tabId="7" name="Sales Trend by Sate"/>
  </pivotTables>
  <data>
    <olap pivotCacheId="1743935778">
      <levels count="2">
        <level uniqueName="[SalesTable].[Product].[(All)]" sourceCaption="(All)" count="0"/>
        <level uniqueName="[SalesTable].[Product].[Product]" sourceCaption="Product" count="4">
          <ranges>
            <range startItem="0">
              <i n="[SalesTable].[Product].&amp;[Accessory]" c="Accessory"/>
              <i n="[SalesTable].[Product].&amp;[Laptop]" c="Laptop"/>
              <i n="[SalesTable].[Product].&amp;[Phone]" c="Phone"/>
              <i n="[SalesTable].[Product].&amp;[Tablet]" c="Tablet"/>
            </range>
          </ranges>
        </level>
      </levels>
      <selections count="1">
        <selection n="[SalesTable].[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2FCB344B-A39B-4A93-9EAA-D7F3502AE368}" sourceName="[SalesTable].[Quantity]">
  <pivotTables>
    <pivotTable tabId="8" name="PivotTable6"/>
    <pivotTable tabId="2" name="Total Sales By Region"/>
    <pivotTable tabId="3" name="Average of Total Sales by Product"/>
    <pivotTable tabId="7" name="Sales Trend by Sate"/>
  </pivotTables>
  <data>
    <olap pivotCacheId="1743935778">
      <levels count="2">
        <level uniqueName="[SalesTable].[Quantity].[(All)]" sourceCaption="(All)" count="0"/>
        <level uniqueName="[SalesTable].[Quantity].[Quantity]" sourceCaption="Quantity" count="19">
          <ranges>
            <range startItem="0">
              <i n="[SalesTable].[Quantity].&amp;[1]" c="1"/>
              <i n="[SalesTable].[Quantity].&amp;[2]" c="2"/>
              <i n="[SalesTable].[Quantity].&amp;[3]" c="3"/>
              <i n="[SalesTable].[Quantity].&amp;[4]" c="4"/>
              <i n="[SalesTable].[Quantity].&amp;[5]" c="5"/>
              <i n="[SalesTable].[Quantity].&amp;[6]" c="6"/>
              <i n="[SalesTable].[Quantity].&amp;[7]" c="7"/>
              <i n="[SalesTable].[Quantity].&amp;[8]" c="8"/>
              <i n="[SalesTable].[Quantity].&amp;[9]" c="9"/>
              <i n="[SalesTable].[Quantity].&amp;[10]" c="10"/>
              <i n="[SalesTable].[Quantity].&amp;[11]" c="11"/>
              <i n="[SalesTable].[Quantity].&amp;[12]" c="12"/>
              <i n="[SalesTable].[Quantity].&amp;[14]" c="14"/>
              <i n="[SalesTable].[Quantity].&amp;[15]" c="15"/>
              <i n="[SalesTable].[Quantity].&amp;[16]" c="16"/>
              <i n="[SalesTable].[Quantity].&amp;[17]" c="17"/>
              <i n="[SalesTable].[Quantity].&amp;[18]" c="18"/>
              <i n="[SalesTable].[Quantity].&amp;[19]" c="19"/>
              <i n="[SalesTable].[Quantity].&amp;[20]" c="20"/>
            </range>
          </ranges>
        </level>
      </levels>
      <selections count="1">
        <selection n="[SalesTable].[Quant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200C5AF-7F6B-495F-B1FD-DCAC93DD83EF}" cache="Slicer_Region" caption="Region" level="1" style="SlicerStyleLight5" rowHeight="234950"/>
  <slicer name="Date 1" xr10:uid="{593BCA7C-2808-4E15-B943-A0987D2DDA17}" cache="Slicer_Date" caption="Date" startItem="12" level="1" style="SlicerStyleLight4" rowHeight="234950"/>
  <slicer name="Product 1" xr10:uid="{79DB8719-CCFD-42F0-848C-91BF467BBCB6}" cache="Slicer_Product" caption="Product" level="1" style="SlicerStyleLight3" rowHeight="234950"/>
  <slicer name="Quantity 1" xr10:uid="{24DB4A81-2613-4084-8DB2-82BED164F307}" cache="Slicer_Quantity" caption="Quantity" level="1"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03E6238-0984-4831-9AC8-A942BCEDCFB7}" cache="Slicer_Product" caption="Product" level="1" rowHeight="234950"/>
  <slicer name="Quantity" xr10:uid="{94B9B70B-32F7-4C70-A561-779A394C9D7B}" cache="Slicer_Quantity" caption="Quantit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A9F71242-85E5-4039-9B41-BB57710EEB26}" cache="Slicer_Date" caption="Dat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2289123-78A1-405B-9FE3-0E87B240CE1D}" cache="Slicer_Region"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FC9B61-6354-4D81-87EF-332C97427243}" name="SalesTable" displayName="SalesTable" ref="A1:G51" totalsRowShown="0" headerRowDxfId="4" headerRowBorderDxfId="11" tableBorderDxfId="10">
  <autoFilter ref="A1:G51" xr:uid="{7E09CC68-FFB9-4DF9-8DB9-6607D45CA3D2}"/>
  <tableColumns count="7">
    <tableColumn id="1" xr3:uid="{A8ED6E89-895F-45CB-9893-D08ACB776165}" name="OrderID"/>
    <tableColumn id="2" xr3:uid="{480224F0-F6DC-4B27-AC2C-BED1A99F31BA}" name="Date" dataDxfId="9"/>
    <tableColumn id="3" xr3:uid="{55E59094-65EC-4DBD-9E70-D722FEE6EEC8}" name="Region"/>
    <tableColumn id="4" xr3:uid="{16095EB5-9B51-4912-90CC-770D83AC0A31}" name="Product"/>
    <tableColumn id="5" xr3:uid="{8051EB88-3D69-4606-8AB0-9C4087E486E1}" name="Quantity"/>
    <tableColumn id="6" xr3:uid="{75D920E8-B82A-4666-B806-EE2ECD557912}" name="Unit Price"/>
    <tableColumn id="7" xr3:uid="{CA0C73B2-2B9A-45F0-B69A-FDA5AE1E0176}" name="Total Sal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BD143-5356-4FD5-AC5B-E5929D471908}">
  <sheetPr codeName="Sheet2"/>
  <dimension ref="E5"/>
  <sheetViews>
    <sheetView tabSelected="1" topLeftCell="A7" zoomScale="80" zoomScaleNormal="80" workbookViewId="0">
      <selection activeCell="H5" sqref="H5"/>
    </sheetView>
  </sheetViews>
  <sheetFormatPr defaultRowHeight="14.4" x14ac:dyDescent="0.3"/>
  <cols>
    <col min="5" max="5" width="9.77734375" customWidth="1"/>
  </cols>
  <sheetData>
    <row r="5" spans="5:5" x14ac:dyDescent="0.3">
      <c r="E5"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G51"/>
  <sheetViews>
    <sheetView workbookViewId="0">
      <selection activeCell="G20" sqref="G20"/>
    </sheetView>
  </sheetViews>
  <sheetFormatPr defaultRowHeight="14.4" x14ac:dyDescent="0.3"/>
  <cols>
    <col min="1" max="1" width="11" customWidth="1"/>
    <col min="2" max="2" width="18.6640625" customWidth="1"/>
    <col min="3" max="3" width="17.21875" customWidth="1"/>
    <col min="4" max="4" width="13.109375" customWidth="1"/>
    <col min="5" max="5" width="17.77734375" customWidth="1"/>
    <col min="6" max="6" width="20.109375" customWidth="1"/>
    <col min="7" max="7" width="17.33203125" customWidth="1"/>
  </cols>
  <sheetData>
    <row r="1" spans="1:7" ht="23.4" x14ac:dyDescent="0.3">
      <c r="A1" s="6" t="s">
        <v>0</v>
      </c>
      <c r="B1" s="6" t="s">
        <v>1</v>
      </c>
      <c r="C1" s="6" t="s">
        <v>2</v>
      </c>
      <c r="D1" s="6" t="s">
        <v>3</v>
      </c>
      <c r="E1" s="6" t="s">
        <v>4</v>
      </c>
      <c r="F1" s="6" t="s">
        <v>5</v>
      </c>
      <c r="G1" s="6" t="s">
        <v>6</v>
      </c>
    </row>
    <row r="2" spans="1:7" x14ac:dyDescent="0.3">
      <c r="A2">
        <v>1001</v>
      </c>
      <c r="B2" s="1">
        <v>45662</v>
      </c>
      <c r="C2" t="s">
        <v>7</v>
      </c>
      <c r="D2" t="s">
        <v>8</v>
      </c>
      <c r="E2">
        <v>7</v>
      </c>
      <c r="F2">
        <v>800</v>
      </c>
      <c r="G2">
        <v>5600</v>
      </c>
    </row>
    <row r="3" spans="1:7" x14ac:dyDescent="0.3">
      <c r="A3">
        <v>1002</v>
      </c>
      <c r="B3" s="1">
        <v>45663</v>
      </c>
      <c r="C3" t="s">
        <v>9</v>
      </c>
      <c r="D3" t="s">
        <v>10</v>
      </c>
      <c r="E3">
        <v>20</v>
      </c>
      <c r="F3">
        <v>500</v>
      </c>
      <c r="G3">
        <v>10000</v>
      </c>
    </row>
    <row r="4" spans="1:7" x14ac:dyDescent="0.3">
      <c r="A4">
        <v>1003</v>
      </c>
      <c r="B4" s="1">
        <v>45664</v>
      </c>
      <c r="C4" t="s">
        <v>11</v>
      </c>
      <c r="D4" t="s">
        <v>12</v>
      </c>
      <c r="E4">
        <v>15</v>
      </c>
      <c r="F4">
        <v>300</v>
      </c>
      <c r="G4">
        <v>4500</v>
      </c>
    </row>
    <row r="5" spans="1:7" x14ac:dyDescent="0.3">
      <c r="A5">
        <v>1004</v>
      </c>
      <c r="B5" s="1">
        <v>45665</v>
      </c>
      <c r="C5" t="s">
        <v>13</v>
      </c>
      <c r="D5" t="s">
        <v>14</v>
      </c>
      <c r="E5">
        <v>11</v>
      </c>
      <c r="F5">
        <v>50</v>
      </c>
      <c r="G5">
        <v>550</v>
      </c>
    </row>
    <row r="6" spans="1:7" x14ac:dyDescent="0.3">
      <c r="A6">
        <v>1005</v>
      </c>
      <c r="B6" s="1">
        <v>45725</v>
      </c>
      <c r="C6" t="s">
        <v>7</v>
      </c>
      <c r="D6" t="s">
        <v>8</v>
      </c>
      <c r="E6">
        <v>8</v>
      </c>
      <c r="F6">
        <v>800</v>
      </c>
      <c r="G6">
        <v>6400</v>
      </c>
    </row>
    <row r="7" spans="1:7" x14ac:dyDescent="0.3">
      <c r="A7">
        <v>1006</v>
      </c>
      <c r="B7" s="1">
        <v>45726</v>
      </c>
      <c r="C7" t="s">
        <v>9</v>
      </c>
      <c r="D7" t="s">
        <v>10</v>
      </c>
      <c r="E7">
        <v>7</v>
      </c>
      <c r="F7">
        <v>500</v>
      </c>
      <c r="G7">
        <v>3500</v>
      </c>
    </row>
    <row r="8" spans="1:7" x14ac:dyDescent="0.3">
      <c r="A8">
        <v>1007</v>
      </c>
      <c r="B8" s="1">
        <v>45727</v>
      </c>
      <c r="C8" t="s">
        <v>11</v>
      </c>
      <c r="D8" t="s">
        <v>12</v>
      </c>
      <c r="E8">
        <v>19</v>
      </c>
      <c r="F8">
        <v>300</v>
      </c>
      <c r="G8">
        <v>5700</v>
      </c>
    </row>
    <row r="9" spans="1:7" x14ac:dyDescent="0.3">
      <c r="A9">
        <v>1008</v>
      </c>
      <c r="B9" s="1">
        <v>45728</v>
      </c>
      <c r="C9" t="s">
        <v>13</v>
      </c>
      <c r="D9" t="s">
        <v>14</v>
      </c>
      <c r="E9">
        <v>11</v>
      </c>
      <c r="F9">
        <v>50</v>
      </c>
      <c r="G9">
        <v>550</v>
      </c>
    </row>
    <row r="10" spans="1:7" x14ac:dyDescent="0.3">
      <c r="A10">
        <v>1009</v>
      </c>
      <c r="B10" s="1">
        <v>45729</v>
      </c>
      <c r="C10" t="s">
        <v>7</v>
      </c>
      <c r="D10" t="s">
        <v>8</v>
      </c>
      <c r="E10">
        <v>11</v>
      </c>
      <c r="F10">
        <v>800</v>
      </c>
      <c r="G10">
        <v>8800</v>
      </c>
    </row>
    <row r="11" spans="1:7" x14ac:dyDescent="0.3">
      <c r="A11">
        <v>1010</v>
      </c>
      <c r="B11" s="1">
        <v>45761</v>
      </c>
      <c r="C11" t="s">
        <v>9</v>
      </c>
      <c r="D11" t="s">
        <v>10</v>
      </c>
      <c r="E11">
        <v>4</v>
      </c>
      <c r="F11">
        <v>500</v>
      </c>
      <c r="G11">
        <v>2000</v>
      </c>
    </row>
    <row r="12" spans="1:7" x14ac:dyDescent="0.3">
      <c r="A12">
        <v>1011</v>
      </c>
      <c r="B12" s="1">
        <v>45762</v>
      </c>
      <c r="C12" t="s">
        <v>11</v>
      </c>
      <c r="D12" t="s">
        <v>12</v>
      </c>
      <c r="E12">
        <v>8</v>
      </c>
      <c r="F12">
        <v>300</v>
      </c>
      <c r="G12">
        <v>2400</v>
      </c>
    </row>
    <row r="13" spans="1:7" x14ac:dyDescent="0.3">
      <c r="A13">
        <v>1012</v>
      </c>
      <c r="B13" s="1">
        <v>45763</v>
      </c>
      <c r="C13" t="s">
        <v>13</v>
      </c>
      <c r="D13" t="s">
        <v>14</v>
      </c>
      <c r="E13">
        <v>3</v>
      </c>
      <c r="F13">
        <v>50</v>
      </c>
      <c r="G13">
        <v>150</v>
      </c>
    </row>
    <row r="14" spans="1:7" x14ac:dyDescent="0.3">
      <c r="A14">
        <v>1013</v>
      </c>
      <c r="B14" s="1">
        <v>45764</v>
      </c>
      <c r="C14" t="s">
        <v>7</v>
      </c>
      <c r="D14" t="s">
        <v>8</v>
      </c>
      <c r="E14">
        <v>2</v>
      </c>
      <c r="F14">
        <v>800</v>
      </c>
      <c r="G14">
        <v>1600</v>
      </c>
    </row>
    <row r="15" spans="1:7" x14ac:dyDescent="0.3">
      <c r="A15">
        <v>1014</v>
      </c>
      <c r="B15" s="1">
        <v>45795</v>
      </c>
      <c r="C15" t="s">
        <v>9</v>
      </c>
      <c r="D15" t="s">
        <v>10</v>
      </c>
      <c r="E15">
        <v>12</v>
      </c>
      <c r="F15">
        <v>500</v>
      </c>
      <c r="G15">
        <v>6000</v>
      </c>
    </row>
    <row r="16" spans="1:7" x14ac:dyDescent="0.3">
      <c r="A16">
        <v>1015</v>
      </c>
      <c r="B16" s="1">
        <v>45796</v>
      </c>
      <c r="C16" t="s">
        <v>11</v>
      </c>
      <c r="D16" t="s">
        <v>12</v>
      </c>
      <c r="E16">
        <v>6</v>
      </c>
      <c r="F16">
        <v>300</v>
      </c>
      <c r="G16">
        <v>1800</v>
      </c>
    </row>
    <row r="17" spans="1:7" x14ac:dyDescent="0.3">
      <c r="A17">
        <v>1016</v>
      </c>
      <c r="B17" s="1">
        <v>45797</v>
      </c>
      <c r="C17" t="s">
        <v>13</v>
      </c>
      <c r="D17" t="s">
        <v>14</v>
      </c>
      <c r="E17">
        <v>2</v>
      </c>
      <c r="F17">
        <v>50</v>
      </c>
      <c r="G17">
        <v>100</v>
      </c>
    </row>
    <row r="18" spans="1:7" x14ac:dyDescent="0.3">
      <c r="A18">
        <v>1017</v>
      </c>
      <c r="B18" s="1">
        <v>45798</v>
      </c>
      <c r="C18" t="s">
        <v>7</v>
      </c>
      <c r="D18" t="s">
        <v>8</v>
      </c>
      <c r="E18">
        <v>1</v>
      </c>
      <c r="F18">
        <v>800</v>
      </c>
      <c r="G18">
        <v>800</v>
      </c>
    </row>
    <row r="19" spans="1:7" x14ac:dyDescent="0.3">
      <c r="A19">
        <v>1018</v>
      </c>
      <c r="B19" s="1">
        <v>45830</v>
      </c>
      <c r="C19" t="s">
        <v>9</v>
      </c>
      <c r="D19" t="s">
        <v>10</v>
      </c>
      <c r="E19">
        <v>12</v>
      </c>
      <c r="F19">
        <v>500</v>
      </c>
      <c r="G19">
        <v>6000</v>
      </c>
    </row>
    <row r="20" spans="1:7" x14ac:dyDescent="0.3">
      <c r="A20">
        <v>1019</v>
      </c>
      <c r="B20" s="1">
        <v>45831</v>
      </c>
      <c r="C20" t="s">
        <v>11</v>
      </c>
      <c r="D20" t="s">
        <v>12</v>
      </c>
      <c r="E20">
        <v>12</v>
      </c>
      <c r="F20">
        <v>300</v>
      </c>
      <c r="G20">
        <v>3600</v>
      </c>
    </row>
    <row r="21" spans="1:7" x14ac:dyDescent="0.3">
      <c r="A21">
        <v>1020</v>
      </c>
      <c r="B21" s="1">
        <v>45832</v>
      </c>
      <c r="C21" t="s">
        <v>13</v>
      </c>
      <c r="D21" t="s">
        <v>14</v>
      </c>
      <c r="E21">
        <v>17</v>
      </c>
      <c r="F21">
        <v>50</v>
      </c>
      <c r="G21">
        <v>850</v>
      </c>
    </row>
    <row r="22" spans="1:7" x14ac:dyDescent="0.3">
      <c r="A22">
        <v>1021</v>
      </c>
      <c r="B22" s="1">
        <v>45833</v>
      </c>
      <c r="C22" t="s">
        <v>7</v>
      </c>
      <c r="D22" t="s">
        <v>8</v>
      </c>
      <c r="E22">
        <v>10</v>
      </c>
      <c r="F22">
        <v>800</v>
      </c>
      <c r="G22">
        <v>8000</v>
      </c>
    </row>
    <row r="23" spans="1:7" x14ac:dyDescent="0.3">
      <c r="A23">
        <v>1022</v>
      </c>
      <c r="B23" s="1">
        <v>45864</v>
      </c>
      <c r="C23" t="s">
        <v>9</v>
      </c>
      <c r="D23" t="s">
        <v>10</v>
      </c>
      <c r="E23">
        <v>16</v>
      </c>
      <c r="F23">
        <v>500</v>
      </c>
      <c r="G23">
        <v>8000</v>
      </c>
    </row>
    <row r="24" spans="1:7" x14ac:dyDescent="0.3">
      <c r="A24">
        <v>1023</v>
      </c>
      <c r="B24" s="1">
        <v>45865</v>
      </c>
      <c r="C24" t="s">
        <v>11</v>
      </c>
      <c r="D24" t="s">
        <v>12</v>
      </c>
      <c r="E24">
        <v>15</v>
      </c>
      <c r="F24">
        <v>300</v>
      </c>
      <c r="G24">
        <v>4500</v>
      </c>
    </row>
    <row r="25" spans="1:7" x14ac:dyDescent="0.3">
      <c r="A25">
        <v>1024</v>
      </c>
      <c r="B25" s="1">
        <v>45866</v>
      </c>
      <c r="C25" t="s">
        <v>13</v>
      </c>
      <c r="D25" t="s">
        <v>14</v>
      </c>
      <c r="E25">
        <v>15</v>
      </c>
      <c r="F25">
        <v>50</v>
      </c>
      <c r="G25">
        <v>750</v>
      </c>
    </row>
    <row r="26" spans="1:7" x14ac:dyDescent="0.3">
      <c r="A26">
        <v>1025</v>
      </c>
      <c r="B26" s="1">
        <v>45867</v>
      </c>
      <c r="C26" t="s">
        <v>7</v>
      </c>
      <c r="D26" t="s">
        <v>8</v>
      </c>
      <c r="E26">
        <v>19</v>
      </c>
      <c r="F26">
        <v>800</v>
      </c>
      <c r="G26">
        <v>15200</v>
      </c>
    </row>
    <row r="27" spans="1:7" x14ac:dyDescent="0.3">
      <c r="A27">
        <v>1026</v>
      </c>
      <c r="B27" s="1">
        <v>45899</v>
      </c>
      <c r="C27" t="s">
        <v>9</v>
      </c>
      <c r="D27" t="s">
        <v>10</v>
      </c>
      <c r="E27">
        <v>12</v>
      </c>
      <c r="F27">
        <v>500</v>
      </c>
      <c r="G27">
        <v>6000</v>
      </c>
    </row>
    <row r="28" spans="1:7" x14ac:dyDescent="0.3">
      <c r="A28">
        <v>1027</v>
      </c>
      <c r="B28" s="1">
        <v>45900</v>
      </c>
      <c r="C28" t="s">
        <v>11</v>
      </c>
      <c r="D28" t="s">
        <v>12</v>
      </c>
      <c r="E28">
        <v>20</v>
      </c>
      <c r="F28">
        <v>300</v>
      </c>
      <c r="G28">
        <v>6000</v>
      </c>
    </row>
    <row r="29" spans="1:7" x14ac:dyDescent="0.3">
      <c r="A29">
        <v>1028</v>
      </c>
      <c r="B29" s="1">
        <v>45870</v>
      </c>
      <c r="C29" t="s">
        <v>13</v>
      </c>
      <c r="D29" t="s">
        <v>14</v>
      </c>
      <c r="E29">
        <v>3</v>
      </c>
      <c r="F29">
        <v>50</v>
      </c>
      <c r="G29">
        <v>150</v>
      </c>
    </row>
    <row r="30" spans="1:7" x14ac:dyDescent="0.3">
      <c r="A30">
        <v>1029</v>
      </c>
      <c r="B30" s="1">
        <v>45871</v>
      </c>
      <c r="C30" t="s">
        <v>7</v>
      </c>
      <c r="D30" t="s">
        <v>8</v>
      </c>
      <c r="E30">
        <v>5</v>
      </c>
      <c r="F30">
        <v>800</v>
      </c>
      <c r="G30">
        <v>4000</v>
      </c>
    </row>
    <row r="31" spans="1:7" x14ac:dyDescent="0.3">
      <c r="A31">
        <v>1030</v>
      </c>
      <c r="B31" s="1">
        <v>45903</v>
      </c>
      <c r="C31" t="s">
        <v>9</v>
      </c>
      <c r="D31" t="s">
        <v>10</v>
      </c>
      <c r="E31">
        <v>19</v>
      </c>
      <c r="F31">
        <v>500</v>
      </c>
      <c r="G31">
        <v>9500</v>
      </c>
    </row>
    <row r="32" spans="1:7" x14ac:dyDescent="0.3">
      <c r="A32">
        <v>1031</v>
      </c>
      <c r="B32" s="1">
        <v>45904</v>
      </c>
      <c r="C32" t="s">
        <v>11</v>
      </c>
      <c r="D32" t="s">
        <v>12</v>
      </c>
      <c r="E32">
        <v>7</v>
      </c>
      <c r="F32">
        <v>300</v>
      </c>
      <c r="G32">
        <v>2100</v>
      </c>
    </row>
    <row r="33" spans="1:7" x14ac:dyDescent="0.3">
      <c r="A33">
        <v>1032</v>
      </c>
      <c r="B33" s="1">
        <v>45905</v>
      </c>
      <c r="C33" t="s">
        <v>13</v>
      </c>
      <c r="D33" t="s">
        <v>14</v>
      </c>
      <c r="E33">
        <v>9</v>
      </c>
      <c r="F33">
        <v>50</v>
      </c>
      <c r="G33">
        <v>450</v>
      </c>
    </row>
    <row r="34" spans="1:7" x14ac:dyDescent="0.3">
      <c r="A34">
        <v>1033</v>
      </c>
      <c r="B34" s="1">
        <v>45906</v>
      </c>
      <c r="C34" t="s">
        <v>7</v>
      </c>
      <c r="D34" t="s">
        <v>8</v>
      </c>
      <c r="E34">
        <v>7</v>
      </c>
      <c r="F34">
        <v>800</v>
      </c>
      <c r="G34">
        <v>5600</v>
      </c>
    </row>
    <row r="35" spans="1:7" x14ac:dyDescent="0.3">
      <c r="A35">
        <v>1034</v>
      </c>
      <c r="B35" s="1">
        <v>45937</v>
      </c>
      <c r="C35" t="s">
        <v>9</v>
      </c>
      <c r="D35" t="s">
        <v>10</v>
      </c>
      <c r="E35">
        <v>18</v>
      </c>
      <c r="F35">
        <v>500</v>
      </c>
      <c r="G35">
        <v>9000</v>
      </c>
    </row>
    <row r="36" spans="1:7" x14ac:dyDescent="0.3">
      <c r="A36">
        <v>1035</v>
      </c>
      <c r="B36" s="1">
        <v>45938</v>
      </c>
      <c r="C36" t="s">
        <v>11</v>
      </c>
      <c r="D36" t="s">
        <v>12</v>
      </c>
      <c r="E36">
        <v>4</v>
      </c>
      <c r="F36">
        <v>300</v>
      </c>
      <c r="G36">
        <v>1200</v>
      </c>
    </row>
    <row r="37" spans="1:7" x14ac:dyDescent="0.3">
      <c r="A37">
        <v>1036</v>
      </c>
      <c r="B37" s="1">
        <v>45939</v>
      </c>
      <c r="C37" t="s">
        <v>13</v>
      </c>
      <c r="D37" t="s">
        <v>14</v>
      </c>
      <c r="E37">
        <v>14</v>
      </c>
      <c r="F37">
        <v>50</v>
      </c>
      <c r="G37">
        <v>700</v>
      </c>
    </row>
    <row r="38" spans="1:7" x14ac:dyDescent="0.3">
      <c r="A38">
        <v>1037</v>
      </c>
      <c r="B38" s="1">
        <v>45940</v>
      </c>
      <c r="C38" t="s">
        <v>7</v>
      </c>
      <c r="D38" t="s">
        <v>8</v>
      </c>
      <c r="E38">
        <v>18</v>
      </c>
      <c r="F38">
        <v>800</v>
      </c>
      <c r="G38">
        <v>14400</v>
      </c>
    </row>
    <row r="39" spans="1:7" x14ac:dyDescent="0.3">
      <c r="A39">
        <v>1038</v>
      </c>
      <c r="B39" s="1">
        <v>45972</v>
      </c>
      <c r="C39" t="s">
        <v>9</v>
      </c>
      <c r="D39" t="s">
        <v>10</v>
      </c>
      <c r="E39">
        <v>9</v>
      </c>
      <c r="F39">
        <v>500</v>
      </c>
      <c r="G39">
        <v>4500</v>
      </c>
    </row>
    <row r="40" spans="1:7" x14ac:dyDescent="0.3">
      <c r="A40">
        <v>1039</v>
      </c>
      <c r="B40" s="1">
        <v>45973</v>
      </c>
      <c r="C40" t="s">
        <v>11</v>
      </c>
      <c r="D40" t="s">
        <v>12</v>
      </c>
      <c r="E40">
        <v>2</v>
      </c>
      <c r="F40">
        <v>300</v>
      </c>
      <c r="G40">
        <v>600</v>
      </c>
    </row>
    <row r="41" spans="1:7" x14ac:dyDescent="0.3">
      <c r="A41">
        <v>1040</v>
      </c>
      <c r="B41" s="1">
        <v>45974</v>
      </c>
      <c r="C41" t="s">
        <v>13</v>
      </c>
      <c r="D41" t="s">
        <v>14</v>
      </c>
      <c r="E41">
        <v>20</v>
      </c>
      <c r="F41">
        <v>50</v>
      </c>
      <c r="G41">
        <v>1000</v>
      </c>
    </row>
    <row r="42" spans="1:7" x14ac:dyDescent="0.3">
      <c r="A42">
        <v>1041</v>
      </c>
      <c r="B42" s="1">
        <v>45975</v>
      </c>
      <c r="C42" t="s">
        <v>7</v>
      </c>
      <c r="D42" t="s">
        <v>8</v>
      </c>
      <c r="E42">
        <v>15</v>
      </c>
      <c r="F42">
        <v>800</v>
      </c>
      <c r="G42">
        <v>12000</v>
      </c>
    </row>
    <row r="43" spans="1:7" x14ac:dyDescent="0.3">
      <c r="A43">
        <v>1042</v>
      </c>
      <c r="B43" s="1">
        <v>46006</v>
      </c>
      <c r="C43" t="s">
        <v>9</v>
      </c>
      <c r="D43" t="s">
        <v>10</v>
      </c>
      <c r="E43">
        <v>7</v>
      </c>
      <c r="F43">
        <v>500</v>
      </c>
      <c r="G43">
        <v>3500</v>
      </c>
    </row>
    <row r="44" spans="1:7" x14ac:dyDescent="0.3">
      <c r="A44">
        <v>1043</v>
      </c>
      <c r="B44" s="1">
        <v>46007</v>
      </c>
      <c r="C44" t="s">
        <v>11</v>
      </c>
      <c r="D44" t="s">
        <v>12</v>
      </c>
      <c r="E44">
        <v>12</v>
      </c>
      <c r="F44">
        <v>300</v>
      </c>
      <c r="G44">
        <v>3600</v>
      </c>
    </row>
    <row r="45" spans="1:7" x14ac:dyDescent="0.3">
      <c r="A45">
        <v>1044</v>
      </c>
      <c r="B45" s="1">
        <v>46008</v>
      </c>
      <c r="C45" t="s">
        <v>13</v>
      </c>
      <c r="D45" t="s">
        <v>14</v>
      </c>
      <c r="E45">
        <v>8</v>
      </c>
      <c r="F45">
        <v>50</v>
      </c>
      <c r="G45">
        <v>400</v>
      </c>
    </row>
    <row r="46" spans="1:7" x14ac:dyDescent="0.3">
      <c r="A46">
        <v>1045</v>
      </c>
      <c r="B46" s="1">
        <v>46009</v>
      </c>
      <c r="C46" t="s">
        <v>7</v>
      </c>
      <c r="D46" t="s">
        <v>8</v>
      </c>
      <c r="E46">
        <v>15</v>
      </c>
      <c r="F46">
        <v>800</v>
      </c>
      <c r="G46">
        <v>12000</v>
      </c>
    </row>
    <row r="47" spans="1:7" x14ac:dyDescent="0.3">
      <c r="A47">
        <v>1046</v>
      </c>
      <c r="B47" s="1">
        <v>45707</v>
      </c>
      <c r="C47" t="s">
        <v>9</v>
      </c>
      <c r="D47" t="s">
        <v>10</v>
      </c>
      <c r="E47">
        <v>3</v>
      </c>
      <c r="F47">
        <v>500</v>
      </c>
      <c r="G47">
        <v>1500</v>
      </c>
    </row>
    <row r="48" spans="1:7" x14ac:dyDescent="0.3">
      <c r="A48">
        <v>1047</v>
      </c>
      <c r="B48" s="1">
        <v>45708</v>
      </c>
      <c r="C48" t="s">
        <v>11</v>
      </c>
      <c r="D48" t="s">
        <v>12</v>
      </c>
      <c r="E48">
        <v>14</v>
      </c>
      <c r="F48">
        <v>300</v>
      </c>
      <c r="G48">
        <v>4200</v>
      </c>
    </row>
    <row r="49" spans="1:7" x14ac:dyDescent="0.3">
      <c r="A49">
        <v>1048</v>
      </c>
      <c r="B49" s="1">
        <v>45709</v>
      </c>
      <c r="C49" t="s">
        <v>13</v>
      </c>
      <c r="D49" t="s">
        <v>14</v>
      </c>
      <c r="E49">
        <v>17</v>
      </c>
      <c r="F49">
        <v>50</v>
      </c>
      <c r="G49">
        <v>850</v>
      </c>
    </row>
    <row r="50" spans="1:7" x14ac:dyDescent="0.3">
      <c r="A50">
        <v>1049</v>
      </c>
      <c r="B50" s="1">
        <v>45710</v>
      </c>
      <c r="C50" t="s">
        <v>7</v>
      </c>
      <c r="D50" t="s">
        <v>8</v>
      </c>
      <c r="E50">
        <v>4</v>
      </c>
      <c r="F50">
        <v>800</v>
      </c>
      <c r="G50">
        <v>3200</v>
      </c>
    </row>
    <row r="51" spans="1:7" x14ac:dyDescent="0.3">
      <c r="A51">
        <v>1050</v>
      </c>
      <c r="B51" s="1">
        <v>45711</v>
      </c>
      <c r="C51" t="s">
        <v>9</v>
      </c>
      <c r="D51" t="s">
        <v>10</v>
      </c>
      <c r="E51">
        <v>18</v>
      </c>
      <c r="F51">
        <v>500</v>
      </c>
      <c r="G51">
        <v>9000</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ACEFF-E57F-41CB-B067-2ED50D77BDBF}">
  <sheetPr codeName="Sheet1"/>
  <dimension ref="A3:N10"/>
  <sheetViews>
    <sheetView workbookViewId="0">
      <selection activeCell="H5" sqref="H5"/>
    </sheetView>
  </sheetViews>
  <sheetFormatPr defaultRowHeight="14.4" x14ac:dyDescent="0.3"/>
  <cols>
    <col min="1" max="1" width="14.88671875" bestFit="1" customWidth="1"/>
    <col min="2" max="2" width="15.5546875" bestFit="1" customWidth="1"/>
    <col min="3" max="3" width="6" bestFit="1" customWidth="1"/>
    <col min="4" max="4" width="6.44140625" bestFit="1" customWidth="1"/>
    <col min="5" max="5" width="6" bestFit="1" customWidth="1"/>
    <col min="6" max="6" width="6.77734375" bestFit="1" customWidth="1"/>
    <col min="7" max="7" width="5.88671875" bestFit="1" customWidth="1"/>
    <col min="8" max="8" width="5.21875" bestFit="1" customWidth="1"/>
    <col min="9" max="9" width="6.33203125" bestFit="1" customWidth="1"/>
    <col min="10" max="10" width="6.109375" bestFit="1" customWidth="1"/>
    <col min="11" max="11" width="5.88671875" bestFit="1" customWidth="1"/>
    <col min="12" max="12" width="6.44140625" bestFit="1" customWidth="1"/>
    <col min="13" max="13" width="6.109375" bestFit="1" customWidth="1"/>
    <col min="14" max="14" width="10.77734375" bestFit="1" customWidth="1"/>
    <col min="15" max="31" width="9.77734375" bestFit="1" customWidth="1"/>
    <col min="32" max="33" width="8.77734375" bestFit="1" customWidth="1"/>
    <col min="34" max="35" width="9.77734375" bestFit="1" customWidth="1"/>
    <col min="36" max="39" width="8.77734375" bestFit="1" customWidth="1"/>
    <col min="40" max="42" width="9.77734375" bestFit="1" customWidth="1"/>
    <col min="43" max="52" width="10.77734375" bestFit="1" customWidth="1"/>
  </cols>
  <sheetData>
    <row r="3" spans="1:14" x14ac:dyDescent="0.3">
      <c r="A3" s="2" t="s">
        <v>32</v>
      </c>
      <c r="B3" s="2" t="s">
        <v>19</v>
      </c>
    </row>
    <row r="4" spans="1:14" x14ac:dyDescent="0.3">
      <c r="B4" t="s">
        <v>20</v>
      </c>
      <c r="C4" t="s">
        <v>21</v>
      </c>
      <c r="D4" t="s">
        <v>22</v>
      </c>
      <c r="E4" t="s">
        <v>23</v>
      </c>
      <c r="F4" t="s">
        <v>24</v>
      </c>
      <c r="G4" t="s">
        <v>25</v>
      </c>
      <c r="H4" t="s">
        <v>26</v>
      </c>
      <c r="I4" t="s">
        <v>27</v>
      </c>
      <c r="J4" t="s">
        <v>28</v>
      </c>
      <c r="K4" t="s">
        <v>29</v>
      </c>
      <c r="L4" t="s">
        <v>30</v>
      </c>
      <c r="M4" t="s">
        <v>31</v>
      </c>
      <c r="N4" t="s">
        <v>16</v>
      </c>
    </row>
    <row r="5" spans="1:14" x14ac:dyDescent="0.3">
      <c r="A5" s="2" t="s">
        <v>15</v>
      </c>
    </row>
    <row r="6" spans="1:14" x14ac:dyDescent="0.3">
      <c r="A6" s="3" t="s">
        <v>14</v>
      </c>
      <c r="B6" s="4">
        <v>11</v>
      </c>
      <c r="C6" s="4">
        <v>17</v>
      </c>
      <c r="D6" s="4">
        <v>11</v>
      </c>
      <c r="E6" s="4">
        <v>3</v>
      </c>
      <c r="F6" s="4">
        <v>2</v>
      </c>
      <c r="G6" s="4">
        <v>17</v>
      </c>
      <c r="H6" s="4">
        <v>15</v>
      </c>
      <c r="I6" s="4">
        <v>3</v>
      </c>
      <c r="J6" s="4">
        <v>9</v>
      </c>
      <c r="K6" s="4">
        <v>14</v>
      </c>
      <c r="L6" s="4">
        <v>20</v>
      </c>
      <c r="M6" s="4">
        <v>8</v>
      </c>
      <c r="N6" s="4">
        <v>130</v>
      </c>
    </row>
    <row r="7" spans="1:14" x14ac:dyDescent="0.3">
      <c r="A7" s="3" t="s">
        <v>8</v>
      </c>
      <c r="B7" s="4">
        <v>7</v>
      </c>
      <c r="C7" s="4">
        <v>4</v>
      </c>
      <c r="D7" s="4">
        <v>19</v>
      </c>
      <c r="E7" s="4">
        <v>2</v>
      </c>
      <c r="F7" s="4">
        <v>1</v>
      </c>
      <c r="G7" s="4">
        <v>10</v>
      </c>
      <c r="H7" s="4">
        <v>19</v>
      </c>
      <c r="I7" s="4">
        <v>5</v>
      </c>
      <c r="J7" s="4">
        <v>7</v>
      </c>
      <c r="K7" s="4">
        <v>18</v>
      </c>
      <c r="L7" s="4">
        <v>15</v>
      </c>
      <c r="M7" s="4">
        <v>15</v>
      </c>
      <c r="N7" s="4">
        <v>122</v>
      </c>
    </row>
    <row r="8" spans="1:14" x14ac:dyDescent="0.3">
      <c r="A8" s="3" t="s">
        <v>10</v>
      </c>
      <c r="B8" s="4">
        <v>20</v>
      </c>
      <c r="C8" s="4">
        <v>21</v>
      </c>
      <c r="D8" s="4">
        <v>7</v>
      </c>
      <c r="E8" s="4">
        <v>4</v>
      </c>
      <c r="F8" s="4">
        <v>12</v>
      </c>
      <c r="G8" s="4">
        <v>12</v>
      </c>
      <c r="H8" s="4">
        <v>16</v>
      </c>
      <c r="I8" s="4">
        <v>12</v>
      </c>
      <c r="J8" s="4">
        <v>19</v>
      </c>
      <c r="K8" s="4">
        <v>18</v>
      </c>
      <c r="L8" s="4">
        <v>9</v>
      </c>
      <c r="M8" s="4">
        <v>7</v>
      </c>
      <c r="N8" s="4">
        <v>157</v>
      </c>
    </row>
    <row r="9" spans="1:14" x14ac:dyDescent="0.3">
      <c r="A9" s="3" t="s">
        <v>12</v>
      </c>
      <c r="B9" s="4">
        <v>15</v>
      </c>
      <c r="C9" s="4">
        <v>14</v>
      </c>
      <c r="D9" s="4">
        <v>19</v>
      </c>
      <c r="E9" s="4">
        <v>8</v>
      </c>
      <c r="F9" s="4">
        <v>6</v>
      </c>
      <c r="G9" s="4">
        <v>12</v>
      </c>
      <c r="H9" s="4">
        <v>15</v>
      </c>
      <c r="I9" s="4">
        <v>20</v>
      </c>
      <c r="J9" s="4">
        <v>7</v>
      </c>
      <c r="K9" s="4">
        <v>4</v>
      </c>
      <c r="L9" s="4">
        <v>2</v>
      </c>
      <c r="M9" s="4">
        <v>12</v>
      </c>
      <c r="N9" s="4">
        <v>134</v>
      </c>
    </row>
    <row r="10" spans="1:14" x14ac:dyDescent="0.3">
      <c r="A10" s="3" t="s">
        <v>16</v>
      </c>
      <c r="B10" s="4">
        <v>53</v>
      </c>
      <c r="C10" s="4">
        <v>56</v>
      </c>
      <c r="D10" s="4">
        <v>56</v>
      </c>
      <c r="E10" s="4">
        <v>17</v>
      </c>
      <c r="F10" s="4">
        <v>21</v>
      </c>
      <c r="G10" s="4">
        <v>51</v>
      </c>
      <c r="H10" s="4">
        <v>65</v>
      </c>
      <c r="I10" s="4">
        <v>40</v>
      </c>
      <c r="J10" s="4">
        <v>42</v>
      </c>
      <c r="K10" s="4">
        <v>54</v>
      </c>
      <c r="L10" s="4">
        <v>46</v>
      </c>
      <c r="M10" s="4">
        <v>42</v>
      </c>
      <c r="N10" s="4">
        <v>543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2DE6C-AB0D-4C02-8B85-2A0BFD5E4641}">
  <sheetPr codeName="Sheet3"/>
  <dimension ref="A1:A7"/>
  <sheetViews>
    <sheetView workbookViewId="0">
      <selection activeCell="A7" sqref="A7"/>
    </sheetView>
  </sheetViews>
  <sheetFormatPr defaultRowHeight="14.4" x14ac:dyDescent="0.3"/>
  <sheetData>
    <row r="1" spans="1:1" x14ac:dyDescent="0.3">
      <c r="A1">
        <f>SUM(SalesTable[Total Sales])</f>
        <v>222800</v>
      </c>
    </row>
    <row r="3" spans="1:1" x14ac:dyDescent="0.3">
      <c r="A3">
        <f>SUM(SalesTable[Quantity])</f>
        <v>543</v>
      </c>
    </row>
    <row r="5" spans="1:1" x14ac:dyDescent="0.3">
      <c r="A5">
        <f>MAX(SalesTable[Total Sales])</f>
        <v>15200</v>
      </c>
    </row>
    <row r="7" spans="1:1" x14ac:dyDescent="0.3">
      <c r="A7">
        <f>MIN(SalesTable[Total Sales])</f>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1CC2E-62DA-4991-9564-C8DE4365EF07}">
  <sheetPr codeName="Sheet4"/>
  <dimension ref="A3:N6"/>
  <sheetViews>
    <sheetView workbookViewId="0">
      <selection activeCell="H5" sqref="H5"/>
    </sheetView>
  </sheetViews>
  <sheetFormatPr defaultRowHeight="14.4" x14ac:dyDescent="0.3"/>
  <cols>
    <col min="1" max="1" width="16.44140625" bestFit="1" customWidth="1"/>
    <col min="2" max="2" width="15.5546875" bestFit="1" customWidth="1"/>
    <col min="3" max="3" width="6" bestFit="1" customWidth="1"/>
    <col min="4" max="4" width="6.44140625" bestFit="1" customWidth="1"/>
    <col min="5" max="5" width="6" bestFit="1" customWidth="1"/>
    <col min="6" max="6" width="6.77734375" bestFit="1" customWidth="1"/>
    <col min="7" max="8" width="6" bestFit="1" customWidth="1"/>
    <col min="9" max="9" width="6.33203125" bestFit="1" customWidth="1"/>
    <col min="10" max="10" width="6.109375" bestFit="1" customWidth="1"/>
    <col min="11" max="11" width="6" bestFit="1" customWidth="1"/>
    <col min="12" max="12" width="6.44140625" bestFit="1" customWidth="1"/>
    <col min="13" max="13" width="6.109375" bestFit="1" customWidth="1"/>
    <col min="14" max="14" width="10.77734375" bestFit="1" customWidth="1"/>
    <col min="15" max="28" width="9.77734375" bestFit="1" customWidth="1"/>
    <col min="29" max="37" width="8.77734375" bestFit="1" customWidth="1"/>
    <col min="38" max="51" width="9.77734375" bestFit="1" customWidth="1"/>
    <col min="52" max="52" width="10.77734375" bestFit="1" customWidth="1"/>
  </cols>
  <sheetData>
    <row r="3" spans="1:14" x14ac:dyDescent="0.3">
      <c r="B3" s="2" t="s">
        <v>19</v>
      </c>
    </row>
    <row r="4" spans="1:14" x14ac:dyDescent="0.3">
      <c r="B4" t="s">
        <v>20</v>
      </c>
      <c r="C4" t="s">
        <v>21</v>
      </c>
      <c r="D4" t="s">
        <v>22</v>
      </c>
      <c r="E4" t="s">
        <v>23</v>
      </c>
      <c r="F4" t="s">
        <v>24</v>
      </c>
      <c r="G4" t="s">
        <v>25</v>
      </c>
      <c r="H4" t="s">
        <v>26</v>
      </c>
      <c r="I4" t="s">
        <v>27</v>
      </c>
      <c r="J4" t="s">
        <v>28</v>
      </c>
      <c r="K4" t="s">
        <v>29</v>
      </c>
      <c r="L4" t="s">
        <v>30</v>
      </c>
      <c r="M4" t="s">
        <v>31</v>
      </c>
      <c r="N4" t="s">
        <v>16</v>
      </c>
    </row>
    <row r="6" spans="1:14" x14ac:dyDescent="0.3">
      <c r="A6" t="s">
        <v>17</v>
      </c>
      <c r="B6" s="4">
        <v>20650</v>
      </c>
      <c r="C6" s="4">
        <v>18750</v>
      </c>
      <c r="D6" s="4">
        <v>24950</v>
      </c>
      <c r="E6" s="4">
        <v>6150</v>
      </c>
      <c r="F6" s="4">
        <v>8700</v>
      </c>
      <c r="G6" s="4">
        <v>18450</v>
      </c>
      <c r="H6" s="4">
        <v>28450</v>
      </c>
      <c r="I6" s="4">
        <v>16150</v>
      </c>
      <c r="J6" s="4">
        <v>17650</v>
      </c>
      <c r="K6" s="4">
        <v>25300</v>
      </c>
      <c r="L6" s="4">
        <v>18100</v>
      </c>
      <c r="M6" s="4">
        <v>19500</v>
      </c>
      <c r="N6" s="4">
        <v>222800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24D3A-BB4A-4B4D-AE46-5F38CE70ABE3}">
  <sheetPr codeName="Sheet5"/>
  <dimension ref="A3:B8"/>
  <sheetViews>
    <sheetView workbookViewId="0">
      <selection activeCell="H5" sqref="H5"/>
    </sheetView>
  </sheetViews>
  <sheetFormatPr defaultRowHeight="14.4" x14ac:dyDescent="0.3"/>
  <cols>
    <col min="1" max="1" width="12.5546875" bestFit="1" customWidth="1"/>
    <col min="2" max="2" width="19.6640625" bestFit="1" customWidth="1"/>
  </cols>
  <sheetData>
    <row r="3" spans="1:2" x14ac:dyDescent="0.3">
      <c r="A3" s="2" t="s">
        <v>15</v>
      </c>
      <c r="B3" t="s">
        <v>18</v>
      </c>
    </row>
    <row r="4" spans="1:2" x14ac:dyDescent="0.3">
      <c r="A4" s="3" t="s">
        <v>14</v>
      </c>
      <c r="B4" s="4">
        <v>541.66666666666663</v>
      </c>
    </row>
    <row r="5" spans="1:2" x14ac:dyDescent="0.3">
      <c r="A5" s="3" t="s">
        <v>8</v>
      </c>
      <c r="B5" s="4">
        <v>7507.6923076923076</v>
      </c>
    </row>
    <row r="6" spans="1:2" x14ac:dyDescent="0.3">
      <c r="A6" s="3" t="s">
        <v>10</v>
      </c>
      <c r="B6" s="4">
        <v>6038.4615384615381</v>
      </c>
    </row>
    <row r="7" spans="1:2" x14ac:dyDescent="0.3">
      <c r="A7" s="3" t="s">
        <v>12</v>
      </c>
      <c r="B7" s="4">
        <v>3350</v>
      </c>
    </row>
    <row r="8" spans="1:2" x14ac:dyDescent="0.3">
      <c r="A8" s="3" t="s">
        <v>16</v>
      </c>
      <c r="B8" s="4">
        <v>4456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62C7F-6277-481B-85A0-98EA3D95E46E}">
  <sheetPr codeName="Sheet6"/>
  <dimension ref="A3:B8"/>
  <sheetViews>
    <sheetView workbookViewId="0">
      <selection activeCell="H5" sqref="H5"/>
    </sheetView>
  </sheetViews>
  <sheetFormatPr defaultRowHeight="14.4" x14ac:dyDescent="0.3"/>
  <cols>
    <col min="1" max="1" width="12.5546875" bestFit="1" customWidth="1"/>
    <col min="2" max="2" width="16.44140625" bestFit="1" customWidth="1"/>
  </cols>
  <sheetData>
    <row r="3" spans="1:2" x14ac:dyDescent="0.3">
      <c r="A3" s="2" t="s">
        <v>15</v>
      </c>
      <c r="B3" t="s">
        <v>17</v>
      </c>
    </row>
    <row r="4" spans="1:2" x14ac:dyDescent="0.3">
      <c r="A4" s="3" t="s">
        <v>7</v>
      </c>
      <c r="B4" s="4">
        <v>97600</v>
      </c>
    </row>
    <row r="5" spans="1:2" x14ac:dyDescent="0.3">
      <c r="A5" s="3" t="s">
        <v>11</v>
      </c>
      <c r="B5" s="4">
        <v>40200</v>
      </c>
    </row>
    <row r="6" spans="1:2" x14ac:dyDescent="0.3">
      <c r="A6" s="3" t="s">
        <v>13</v>
      </c>
      <c r="B6" s="4">
        <v>6500</v>
      </c>
    </row>
    <row r="7" spans="1:2" x14ac:dyDescent="0.3">
      <c r="A7" s="3" t="s">
        <v>9</v>
      </c>
      <c r="B7" s="4">
        <v>78500</v>
      </c>
    </row>
    <row r="8" spans="1:2" x14ac:dyDescent="0.3">
      <c r="A8" s="3" t="s">
        <v>16</v>
      </c>
      <c r="B8" s="4">
        <v>222800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Sheet1</vt:lpstr>
      <vt:lpstr>Sheet5</vt:lpstr>
      <vt:lpstr>Cal</vt:lpstr>
      <vt:lpstr>Sheet4</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TAZEEM SAJID</cp:lastModifiedBy>
  <dcterms:created xsi:type="dcterms:W3CDTF">2025-09-24T03:58:38Z</dcterms:created>
  <dcterms:modified xsi:type="dcterms:W3CDTF">2025-09-24T09:35:46Z</dcterms:modified>
</cp:coreProperties>
</file>